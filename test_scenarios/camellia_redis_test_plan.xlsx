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Overview" sheetId="1" state="visible" r:id="rId3"/>
    <sheet name="1. Basic Commands" sheetId="2" state="visible" r:id="rId4"/>
    <sheet name="2. Multi-key Ops" sheetId="3" state="visible" r:id="rId5"/>
    <sheet name="3. Sharding &amp; Routing" sheetId="4" state="visible" r:id="rId6"/>
    <sheet name="4. Multi-tenancy" sheetId="5" state="visible" r:id="rId7"/>
    <sheet name="5. Performance" sheetId="6" state="visible" r:id="rId8"/>
    <sheet name="6. Failover &amp; HA" sheetId="7" state="visible" r:id="rId9"/>
    <sheet name="Test Execution Log" sheetId="8" state="visible" r:id="rId10"/>
    <sheet name="Reference - Commands" sheetId="9" state="visible" r:id="rId11"/>
    <sheet name="Reference - Topology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<sst xmlns="http://schemas.openxmlformats.org/spreadsheetml/2006/main" count="999" uniqueCount="609">
  <si>
    <t xml:space="preserve">CAMELLIA + REDIS - PRODUCTION TEST PLAN</t>
  </si>
  <si>
    <t xml:space="preserve">Project:</t>
  </si>
  <si>
    <t xml:space="preserve">Redis Multi-Pool Architecture with Camellia Proxy</t>
  </si>
  <si>
    <t xml:space="preserve">Test Lead:</t>
  </si>
  <si>
    <t xml:space="preserve">Infrastructure Team</t>
  </si>
  <si>
    <t xml:space="preserve">Created Date:</t>
  </si>
  <si>
    <t xml:space="preserve">2026-03-30</t>
  </si>
  <si>
    <t xml:space="preserve">Environment:</t>
  </si>
  <si>
    <t xml:space="preserve">Lab/Staging</t>
  </si>
  <si>
    <t xml:space="preserve">Version:</t>
  </si>
  <si>
    <t xml:space="preserve">Camellia 1.3.x + Redis 7.2.x</t>
  </si>
  <si>
    <t xml:space="preserve">TEST SUMMARY</t>
  </si>
  <si>
    <t xml:space="preserve">Category</t>
  </si>
  <si>
    <t xml:space="preserve">Total Tests</t>
  </si>
  <si>
    <t xml:space="preserve">Passed</t>
  </si>
  <si>
    <t xml:space="preserve">Failed</t>
  </si>
  <si>
    <t xml:space="preserve">Blocked</t>
  </si>
  <si>
    <t xml:space="preserve">Not Run</t>
  </si>
  <si>
    <t xml:space="preserve">Pass Rate</t>
  </si>
  <si>
    <t xml:space="preserve">Status</t>
  </si>
  <si>
    <t xml:space="preserve">Basic Commands</t>
  </si>
  <si>
    <t xml:space="preserve">Multi-key Operations</t>
  </si>
  <si>
    <t xml:space="preserve">Sharding &amp; Routing</t>
  </si>
  <si>
    <t xml:space="preserve">Multi-tenancy</t>
  </si>
  <si>
    <t xml:space="preserve">Rate Limiting</t>
  </si>
  <si>
    <t xml:space="preserve">Hot Key Caching</t>
  </si>
  <si>
    <t xml:space="preserve">Failover &amp; HA</t>
  </si>
  <si>
    <t xml:space="preserve">Performance</t>
  </si>
  <si>
    <t xml:space="preserve">Security</t>
  </si>
  <si>
    <t xml:space="preserve">Operations</t>
  </si>
  <si>
    <t xml:space="preserve">TOTAL</t>
  </si>
  <si>
    <t xml:space="preserve">ID</t>
  </si>
  <si>
    <t xml:space="preserve">Test Case</t>
  </si>
  <si>
    <t xml:space="preserve">Command</t>
  </si>
  <si>
    <t xml:space="preserve">Expected Result</t>
  </si>
  <si>
    <t xml:space="preserve">Actual Result</t>
  </si>
  <si>
    <t xml:space="preserve">Priority</t>
  </si>
  <si>
    <t xml:space="preserve">Tester</t>
  </si>
  <si>
    <t xml:space="preserve">Date</t>
  </si>
  <si>
    <t xml:space="preserve">Notes</t>
  </si>
  <si>
    <t xml:space="preserve">TC-001</t>
  </si>
  <si>
    <t xml:space="preserve">SET basic string value</t>
  </si>
  <si>
    <t xml:space="preserve">String</t>
  </si>
  <si>
    <t xml:space="preserve">SET key1 "value1"</t>
  </si>
  <si>
    <t xml:space="preserve">+OK</t>
  </si>
  <si>
    <t xml:space="preserve">P1</t>
  </si>
  <si>
    <t xml:space="preserve">TC-002</t>
  </si>
  <si>
    <t xml:space="preserve">GET existing key</t>
  </si>
  <si>
    <t xml:space="preserve">GET key1</t>
  </si>
  <si>
    <t xml:space="preserve">"value1"</t>
  </si>
  <si>
    <t xml:space="preserve">TC-003</t>
  </si>
  <si>
    <t xml:space="preserve">GET non-existent key</t>
  </si>
  <si>
    <t xml:space="preserve">GET nonexist</t>
  </si>
  <si>
    <t xml:space="preserve">(nil)</t>
  </si>
  <si>
    <t xml:space="preserve">P2</t>
  </si>
  <si>
    <t xml:space="preserve">TC-004</t>
  </si>
  <si>
    <t xml:space="preserve">DEL existing key</t>
  </si>
  <si>
    <t xml:space="preserve">DEL key1</t>
  </si>
  <si>
    <t xml:space="preserve">(integer) 1</t>
  </si>
  <si>
    <t xml:space="preserve">TC-005</t>
  </si>
  <si>
    <t xml:space="preserve">EXPIRE set TTL</t>
  </si>
  <si>
    <t xml:space="preserve">SETEX temp 10 "value"</t>
  </si>
  <si>
    <t xml:space="preserve">TTL 10 seconds</t>
  </si>
  <si>
    <t xml:space="preserve">TC-006</t>
  </si>
  <si>
    <t xml:space="preserve">TTL check remaining time</t>
  </si>
  <si>
    <t xml:space="preserve">TTL temp</t>
  </si>
  <si>
    <t xml:space="preserve">(integer) 10</t>
  </si>
  <si>
    <t xml:space="preserve">TC-007</t>
  </si>
  <si>
    <t xml:space="preserve">INCR counter</t>
  </si>
  <si>
    <t xml:space="preserve">TC-008</t>
  </si>
  <si>
    <t xml:space="preserve">INCRBY increment by N</t>
  </si>
  <si>
    <t xml:space="preserve">INCRBY counter 5</t>
  </si>
  <si>
    <t xml:space="preserve">(integer) 6</t>
  </si>
  <si>
    <t xml:space="preserve">TC-009</t>
  </si>
  <si>
    <t xml:space="preserve">DECR counter</t>
  </si>
  <si>
    <t xml:space="preserve">(integer) 5</t>
  </si>
  <si>
    <t xml:space="preserve">TC-010</t>
  </si>
  <si>
    <t xml:space="preserve">APPEND string</t>
  </si>
  <si>
    <t xml:space="preserve">APPEND key1 "append"</t>
  </si>
  <si>
    <t xml:space="preserve">(integer) length</t>
  </si>
  <si>
    <t xml:space="preserve">TC-011</t>
  </si>
  <si>
    <t xml:space="preserve">HSET hash field</t>
  </si>
  <si>
    <t xml:space="preserve">Hash</t>
  </si>
  <si>
    <t xml:space="preserve">HSET user:1 name "John"</t>
  </si>
  <si>
    <t xml:space="preserve">TC-012</t>
  </si>
  <si>
    <t xml:space="preserve">HGET hash field</t>
  </si>
  <si>
    <t xml:space="preserve">HGET user:1 name</t>
  </si>
  <si>
    <t xml:space="preserve">"John"</t>
  </si>
  <si>
    <t xml:space="preserve">TC-013</t>
  </si>
  <si>
    <t xml:space="preserve">HGETALL all fields</t>
  </si>
  <si>
    <t xml:space="preserve">HGETALL user:1</t>
  </si>
  <si>
    <t xml:space="preserve">All key-value pairs</t>
  </si>
  <si>
    <t xml:space="preserve">TC-014</t>
  </si>
  <si>
    <t xml:space="preserve">HDEL delete field</t>
  </si>
  <si>
    <t xml:space="preserve">HDEL user:1 name</t>
  </si>
  <si>
    <t xml:space="preserve">TC-015</t>
  </si>
  <si>
    <t xml:space="preserve">LPUSH list left</t>
  </si>
  <si>
    <t xml:space="preserve">List</t>
  </si>
  <si>
    <t xml:space="preserve">LPUSH mylist "item1"</t>
  </si>
  <si>
    <t xml:space="preserve">TC-016</t>
  </si>
  <si>
    <t xml:space="preserve">RPUSH list right</t>
  </si>
  <si>
    <t xml:space="preserve">RPUSH mylist "item2"</t>
  </si>
  <si>
    <t xml:space="preserve">(integer) 2</t>
  </si>
  <si>
    <t xml:space="preserve">TC-017</t>
  </si>
  <si>
    <t xml:space="preserve">LPOP pop left</t>
  </si>
  <si>
    <t xml:space="preserve">LPOP mylist</t>
  </si>
  <si>
    <t xml:space="preserve">"item1"</t>
  </si>
  <si>
    <t xml:space="preserve">TC-018</t>
  </si>
  <si>
    <t xml:space="preserve">RPOP pop right</t>
  </si>
  <si>
    <t xml:space="preserve">RPOP mylist</t>
  </si>
  <si>
    <t xml:space="preserve">"item2"</t>
  </si>
  <si>
    <t xml:space="preserve">TC-019</t>
  </si>
  <si>
    <t xml:space="preserve">LRANGE get range</t>
  </si>
  <si>
    <t xml:space="preserve">LRANGE mylist 0 -1</t>
  </si>
  <si>
    <t xml:space="preserve">All items</t>
  </si>
  <si>
    <t xml:space="preserve">TC-020</t>
  </si>
  <si>
    <t xml:space="preserve">SADD set member</t>
  </si>
  <si>
    <t xml:space="preserve">Set</t>
  </si>
  <si>
    <t xml:space="preserve">SADD myset "member1"</t>
  </si>
  <si>
    <t xml:space="preserve">TC-021</t>
  </si>
  <si>
    <t xml:space="preserve">SMEMBERS all members</t>
  </si>
  <si>
    <t xml:space="preserve">SMEMBERS myset</t>
  </si>
  <si>
    <t xml:space="preserve">All members</t>
  </si>
  <si>
    <t xml:space="preserve">TC-022</t>
  </si>
  <si>
    <t xml:space="preserve">SISMEMBER check member</t>
  </si>
  <si>
    <t xml:space="preserve">SISMEMBER myset "member1"</t>
  </si>
  <si>
    <t xml:space="preserve">TC-023</t>
  </si>
  <si>
    <t xml:space="preserve">ZADD sorted set</t>
  </si>
  <si>
    <t xml:space="preserve">Sorted Set</t>
  </si>
  <si>
    <t xml:space="preserve">ZADD rank 100 "user1"</t>
  </si>
  <si>
    <t xml:space="preserve">TC-024</t>
  </si>
  <si>
    <t xml:space="preserve">ZRANGE get range</t>
  </si>
  <si>
    <t xml:space="preserve">ZRANGE rank 0 -1</t>
  </si>
  <si>
    <t xml:space="preserve">Members by score</t>
  </si>
  <si>
    <t xml:space="preserve">TC-025</t>
  </si>
  <si>
    <t xml:space="preserve">EXISTS check key</t>
  </si>
  <si>
    <t xml:space="preserve">Generic</t>
  </si>
  <si>
    <t xml:space="preserve">EXISTS key1</t>
  </si>
  <si>
    <t xml:space="preserve">(integer) 0 or 1</t>
  </si>
  <si>
    <t xml:space="preserve">TC-101</t>
  </si>
  <si>
    <t xml:space="preserve">MGET multiple keys same shard</t>
  </si>
  <si>
    <t xml:space="preserve">MGET</t>
  </si>
  <si>
    <t xml:space="preserve">MGET {user}:1 {user}:2</t>
  </si>
  <si>
    <t xml:space="preserve">Values for both keys</t>
  </si>
  <si>
    <t xml:space="preserve">Use hash tag {user}</t>
  </si>
  <si>
    <t xml:space="preserve">TC-102</t>
  </si>
  <si>
    <t xml:space="preserve">MGET without hash tag (cross-shard)</t>
  </si>
  <si>
    <t xml:space="preserve">MGET user:1 user:2</t>
  </si>
  <si>
    <t xml:space="preserve">Should work via proxy</t>
  </si>
  <si>
    <t xml:space="preserve">May be slower</t>
  </si>
  <si>
    <t xml:space="preserve">TC-103</t>
  </si>
  <si>
    <t xml:space="preserve">MSET multiple keys same shard</t>
  </si>
  <si>
    <t xml:space="preserve">MSET</t>
  </si>
  <si>
    <t xml:space="preserve">MSET {user}:1 "a" {user}:2 "b"</t>
  </si>
  <si>
    <t xml:space="preserve">TC-104</t>
  </si>
  <si>
    <t xml:space="preserve">MSET without hash tag</t>
  </si>
  <si>
    <t xml:space="preserve">MSET user:3 "c" user:4 "d"</t>
  </si>
  <si>
    <t xml:space="preserve">+OK or Error</t>
  </si>
  <si>
    <t xml:space="preserve">Check Camellia support</t>
  </si>
  <si>
    <t xml:space="preserve">TC-105</t>
  </si>
  <si>
    <t xml:space="preserve">DEL multiple keys same shard</t>
  </si>
  <si>
    <t xml:space="preserve">DEL</t>
  </si>
  <si>
    <t xml:space="preserve">DEL {user}:1 {user}:2</t>
  </si>
  <si>
    <t xml:space="preserve">TC-106</t>
  </si>
  <si>
    <t xml:space="preserve">SINTER set intersection same shard</t>
  </si>
  <si>
    <t xml:space="preserve">SINTER {set}:1 {set}:2</t>
  </si>
  <si>
    <t xml:space="preserve">Common members</t>
  </si>
  <si>
    <t xml:space="preserve">TC-107</t>
  </si>
  <si>
    <t xml:space="preserve">SUNION set union same shard</t>
  </si>
  <si>
    <t xml:space="preserve">SUNION {set}:1 {set}:2</t>
  </si>
  <si>
    <t xml:space="preserve">All unique members</t>
  </si>
  <si>
    <t xml:space="preserve">TC-108</t>
  </si>
  <si>
    <t xml:space="preserve">SDIFF set difference same shard</t>
  </si>
  <si>
    <t xml:space="preserve">SDIFF {set}:1 {set}:2</t>
  </si>
  <si>
    <t xml:space="preserve">Difference</t>
  </si>
  <si>
    <t xml:space="preserve">TC-109</t>
  </si>
  <si>
    <t xml:space="preserve">SINTER cross-shard (should fail)</t>
  </si>
  <si>
    <t xml:space="preserve">SINTER set:1 set:2</t>
  </si>
  <si>
    <t xml:space="preserve">Error</t>
  </si>
  <si>
    <t xml:space="preserve">Must use hash tags</t>
  </si>
  <si>
    <t xml:space="preserve">TC-110</t>
  </si>
  <si>
    <t xml:space="preserve">ZINTERSTORE sorted sets same shard</t>
  </si>
  <si>
    <t xml:space="preserve">ZINTERSTORE out 2 {z}:1 {z}:2</t>
  </si>
  <si>
    <t xml:space="preserve">(integer) count</t>
  </si>
  <si>
    <t xml:space="preserve">TC-111</t>
  </si>
  <si>
    <t xml:space="preserve">ZUNIONSTORE sorted sets</t>
  </si>
  <si>
    <t xml:space="preserve">ZUNIONSTORE out 2 {z}:1 {z}:2</t>
  </si>
  <si>
    <t xml:space="preserve">TC-112</t>
  </si>
  <si>
    <t xml:space="preserve">RENAME key same shard</t>
  </si>
  <si>
    <t xml:space="preserve">RENAME {key}:old {key}:new</t>
  </si>
  <si>
    <t xml:space="preserve">TC-113</t>
  </si>
  <si>
    <t xml:space="preserve">RENAMENX if not exists</t>
  </si>
  <si>
    <t xml:space="preserve">RENAMENX {key}:1 {key}:2</t>
  </si>
  <si>
    <t xml:space="preserve">(integer) 1 or 0</t>
  </si>
  <si>
    <t xml:space="preserve">TC-114</t>
  </si>
  <si>
    <t xml:space="preserve">Pipeline MGET performance</t>
  </si>
  <si>
    <t xml:space="preserve">Pipeline</t>
  </si>
  <si>
    <t xml:space="preserve">Pipeline 100 MGET commands</t>
  </si>
  <si>
    <t xml:space="preserve">All responses</t>
  </si>
  <si>
    <t xml:space="preserve">Test pipelining</t>
  </si>
  <si>
    <t xml:space="preserve">TC-115</t>
  </si>
  <si>
    <t xml:space="preserve">Transaction MULTI/EXEC same shard</t>
  </si>
  <si>
    <t xml:space="preserve">Transaction</t>
  </si>
  <si>
    <t xml:space="preserve">MULTI; SET {t}:1 v; GET {t}:1; EXEC</t>
  </si>
  <si>
    <t xml:space="preserve">Atomic execution</t>
  </si>
  <si>
    <t xml:space="preserve">Check support</t>
  </si>
  <si>
    <t xml:space="preserve">TC-201</t>
  </si>
  <si>
    <t xml:space="preserve">Key routing to correct pool</t>
  </si>
  <si>
    <t xml:space="preserve">Routing</t>
  </si>
  <si>
    <t xml:space="preserve">SET test:key:1 "value"</t>
  </si>
  <si>
    <t xml:space="preserve">Routes to Pool 1</t>
  </si>
  <si>
    <t xml:space="preserve">Verify via pool monitoring</t>
  </si>
  <si>
    <t xml:space="preserve">TC-202</t>
  </si>
  <si>
    <t xml:space="preserve">Hash slot calculation</t>
  </si>
  <si>
    <t xml:space="preserve">Calculate slot for key "user:100"</t>
  </si>
  <si>
    <t xml:space="preserve">Correct bucket (0-1023)</t>
  </si>
  <si>
    <t xml:space="preserve">Check hash function</t>
  </si>
  <si>
    <t xml:space="preserve">TC-203</t>
  </si>
  <si>
    <t xml:space="preserve">Consistent hashing stability</t>
  </si>
  <si>
    <t xml:space="preserve">Same key multiple times</t>
  </si>
  <si>
    <t xml:space="preserve">Always same pool</t>
  </si>
  <si>
    <t xml:space="preserve">100 iterations</t>
  </si>
  <si>
    <t xml:space="preserve">TC-204</t>
  </si>
  <si>
    <t xml:space="preserve">Hash tag extraction</t>
  </si>
  <si>
    <t xml:space="preserve">Key: {user}:profile:123</t>
  </si>
  <si>
    <t xml:space="preserve">Hash on "user" only</t>
  </si>
  <si>
    <t xml:space="preserve">Verify hash tag logic</t>
  </si>
  <si>
    <t xml:space="preserve">TC-205</t>
  </si>
  <si>
    <t xml:space="preserve">Multiple hash tags (first wins)</t>
  </si>
  <si>
    <t xml:space="preserve">Key: {user}:{session}:data</t>
  </si>
  <si>
    <t xml:space="preserve">Hash on "user"</t>
  </si>
  <si>
    <t xml:space="preserve">First tag precedence</t>
  </si>
  <si>
    <t xml:space="preserve">TC-206</t>
  </si>
  <si>
    <t xml:space="preserve">No hash tag - full key hash</t>
  </si>
  <si>
    <t xml:space="preserve">Key: user:session:123</t>
  </si>
  <si>
    <t xml:space="preserve">Hash full string</t>
  </si>
  <si>
    <t xml:space="preserve">TC-207</t>
  </si>
  <si>
    <t xml:space="preserve">Empty hash tag handling</t>
  </si>
  <si>
    <t xml:space="preserve">Key: {}:data</t>
  </si>
  <si>
    <t xml:space="preserve">Error or hash full key</t>
  </si>
  <si>
    <t xml:space="preserve">TC-208</t>
  </si>
  <si>
    <t xml:space="preserve">Pool distribution uniformity</t>
  </si>
  <si>
    <t xml:space="preserve">Distribution</t>
  </si>
  <si>
    <t xml:space="preserve">Insert 10000 random keys</t>
  </si>
  <si>
    <t xml:space="preserve">Even distribution ±10%</t>
  </si>
  <si>
    <t xml:space="preserve">Statistical test</t>
  </si>
  <si>
    <t xml:space="preserve">TC-209</t>
  </si>
  <si>
    <t xml:space="preserve">Bucket 0 routing</t>
  </si>
  <si>
    <t xml:space="preserve">Edge Case</t>
  </si>
  <si>
    <t xml:space="preserve">Key that hashes to bucket 0</t>
  </si>
  <si>
    <t xml:space="preserve">TC-210</t>
  </si>
  <si>
    <t xml:space="preserve">Bucket 1023 routing</t>
  </si>
  <si>
    <t xml:space="preserve">Key that hashes to bucket 1023</t>
  </si>
  <si>
    <t xml:space="preserve">Routes to Pool 10</t>
  </si>
  <si>
    <t xml:space="preserve">TC-211</t>
  </si>
  <si>
    <t xml:space="preserve">Routing config hot reload</t>
  </si>
  <si>
    <t xml:space="preserve">Config</t>
  </si>
  <si>
    <t xml:space="preserve">Update dashboard config</t>
  </si>
  <si>
    <t xml:space="preserve">Proxies reload in 5s</t>
  </si>
  <si>
    <t xml:space="preserve">Check poll interval</t>
  </si>
  <si>
    <t xml:space="preserve">TC-212</t>
  </si>
  <si>
    <t xml:space="preserve">Invalid pool endpoint handling</t>
  </si>
  <si>
    <t xml:space="preserve">Pool down temporarily</t>
  </si>
  <si>
    <t xml:space="preserve">Error message to client</t>
  </si>
  <si>
    <t xml:space="preserve">TC-213</t>
  </si>
  <si>
    <t xml:space="preserve">Fallback to local config</t>
  </si>
  <si>
    <t xml:space="preserve">Failover</t>
  </si>
  <si>
    <t xml:space="preserve">Dashboard unreachable</t>
  </si>
  <si>
    <t xml:space="preserve">Use last good config</t>
  </si>
  <si>
    <t xml:space="preserve">Proxy resilience</t>
  </si>
  <si>
    <t xml:space="preserve">TC-214</t>
  </si>
  <si>
    <t xml:space="preserve">Cross-pool key migration</t>
  </si>
  <si>
    <t xml:space="preserve">Migration</t>
  </si>
  <si>
    <t xml:space="preserve">Change key routing</t>
  </si>
  <si>
    <t xml:space="preserve">Key accessible at new pool</t>
  </si>
  <si>
    <t xml:space="preserve">Rebalancing scenario</t>
  </si>
  <si>
    <t xml:space="preserve">TC-215</t>
  </si>
  <si>
    <t xml:space="preserve">SCAN command across shards</t>
  </si>
  <si>
    <t xml:space="preserve">SCAN</t>
  </si>
  <si>
    <t xml:space="preserve">SCAN 0 MATCH user:*</t>
  </si>
  <si>
    <t xml:space="preserve">Returns keys from all pools</t>
  </si>
  <si>
    <t xml:space="preserve">Camellia feature</t>
  </si>
  <si>
    <t xml:space="preserve">TC-216</t>
  </si>
  <si>
    <t xml:space="preserve">KEYS command (if supported)</t>
  </si>
  <si>
    <t xml:space="preserve">KEYS</t>
  </si>
  <si>
    <t xml:space="preserve">KEYS user:*</t>
  </si>
  <si>
    <t xml:space="preserve">All matching keys or Error</t>
  </si>
  <si>
    <t xml:space="preserve">Should be blocked</t>
  </si>
  <si>
    <t xml:space="preserve">TC-217</t>
  </si>
  <si>
    <t xml:space="preserve">Read/Write split routing</t>
  </si>
  <si>
    <t xml:space="preserve">R/W Split</t>
  </si>
  <si>
    <t xml:space="preserve">Configure read from replica</t>
  </si>
  <si>
    <t xml:space="preserve">GET routes to replica</t>
  </si>
  <si>
    <t xml:space="preserve">If enabled</t>
  </si>
  <si>
    <t xml:space="preserve">TC-218</t>
  </si>
  <si>
    <t xml:space="preserve">Write always to master</t>
  </si>
  <si>
    <t xml:space="preserve">SET command</t>
  </si>
  <si>
    <t xml:space="preserve">Always routes to master</t>
  </si>
  <si>
    <t xml:space="preserve">TC-219</t>
  </si>
  <si>
    <t xml:space="preserve">Dual-write configuration</t>
  </si>
  <si>
    <t xml:space="preserve">Dual-write</t>
  </si>
  <si>
    <t xml:space="preserve">Write to 2 pools simultaneously</t>
  </si>
  <si>
    <t xml:space="preserve">Both pools have data</t>
  </si>
  <si>
    <t xml:space="preserve">Migration feature</t>
  </si>
  <si>
    <t xml:space="preserve">TC-220</t>
  </si>
  <si>
    <t xml:space="preserve">Bucket reallocation</t>
  </si>
  <si>
    <t xml:space="preserve">Add Pool 11, rebalance</t>
  </si>
  <si>
    <t xml:space="preserve">Traffic redistributed</t>
  </si>
  <si>
    <t xml:space="preserve">Operations test</t>
  </si>
  <si>
    <t xml:space="preserve">TC-301</t>
  </si>
  <si>
    <t xml:space="preserve">Connect with tenant password</t>
  </si>
  <si>
    <t xml:space="preserve">Auth</t>
  </si>
  <si>
    <t xml:space="preserve">AUTH service-group-1-password</t>
  </si>
  <si>
    <t xml:space="preserve">TC-302</t>
  </si>
  <si>
    <t xml:space="preserve">Route to tenant-specific pools</t>
  </si>
  <si>
    <t xml:space="preserve">SET key1 "value" (tenant-1)</t>
  </si>
  <si>
    <t xml:space="preserve">Based on bid/bgroup</t>
  </si>
  <si>
    <t xml:space="preserve">TC-303</t>
  </si>
  <si>
    <t xml:space="preserve">Tenant isolation - different pools</t>
  </si>
  <si>
    <t xml:space="preserve">Isolation</t>
  </si>
  <si>
    <t xml:space="preserve">Tenant-1 and Tenant-2 keys</t>
  </si>
  <si>
    <t xml:space="preserve">Different pools</t>
  </si>
  <si>
    <t xml:space="preserve">TC-304</t>
  </si>
  <si>
    <t xml:space="preserve">Invalid tenant password</t>
  </si>
  <si>
    <t xml:space="preserve">AUTH wrong-password</t>
  </si>
  <si>
    <t xml:space="preserve">Error: invalid password</t>
  </si>
  <si>
    <t xml:space="preserve">TC-305</t>
  </si>
  <si>
    <t xml:space="preserve">No password authentication</t>
  </si>
  <si>
    <t xml:space="preserve">Connect without AUTH</t>
  </si>
  <si>
    <t xml:space="preserve">Error: auth required</t>
  </si>
  <si>
    <t xml:space="preserve">TC-306</t>
  </si>
  <si>
    <t xml:space="preserve">Dashboard config per tenant</t>
  </si>
  <si>
    <t xml:space="preserve">Different sharding for tenant-2</t>
  </si>
  <si>
    <t xml:space="preserve">Correct routing</t>
  </si>
  <si>
    <t xml:space="preserve">bid/bgroup mapping</t>
  </si>
  <si>
    <t xml:space="preserve">TC-307</t>
  </si>
  <si>
    <t xml:space="preserve">Tenant namespace plugin</t>
  </si>
  <si>
    <t xml:space="preserve">Plugin</t>
  </si>
  <si>
    <t xml:space="preserve">Key: user:1 (tenant-1)</t>
  </si>
  <si>
    <t xml:space="preserve">Stored as tenant1:user:1</t>
  </si>
  <si>
    <t xml:space="preserve">TC-308</t>
  </si>
  <si>
    <t xml:space="preserve">Rate limit per tenant</t>
  </si>
  <si>
    <t xml:space="preserve">Rate Limit</t>
  </si>
  <si>
    <t xml:space="preserve">Exceed tenant-1 limit</t>
  </si>
  <si>
    <t xml:space="preserve">Throttled, tenant-2 ok</t>
  </si>
  <si>
    <t xml:space="preserve">TC-309</t>
  </si>
  <si>
    <t xml:space="preserve">IP whitelist per tenant</t>
  </si>
  <si>
    <t xml:space="preserve">Access from allowed IP</t>
  </si>
  <si>
    <t xml:space="preserve">Success</t>
  </si>
  <si>
    <t xml:space="preserve">TC-310</t>
  </si>
  <si>
    <t xml:space="preserve">IP blacklist enforcement</t>
  </si>
  <si>
    <t xml:space="preserve">Access from blocked IP</t>
  </si>
  <si>
    <t xml:space="preserve">Connection refused</t>
  </si>
  <si>
    <t xml:space="preserve">TC-311</t>
  </si>
  <si>
    <t xml:space="preserve">Tenant config update</t>
  </si>
  <si>
    <t xml:space="preserve">Update tenant-1 pools in dashboard</t>
  </si>
  <si>
    <t xml:space="preserve">Applied in 5s</t>
  </si>
  <si>
    <t xml:space="preserve">Hot reload</t>
  </si>
  <si>
    <t xml:space="preserve">TC-312</t>
  </si>
  <si>
    <t xml:space="preserve">Add new tenant dynamically</t>
  </si>
  <si>
    <t xml:space="preserve">Create tenant-11 config</t>
  </si>
  <si>
    <t xml:space="preserve">Immediately available</t>
  </si>
  <si>
    <t xml:space="preserve">No proxy restart</t>
  </si>
  <si>
    <t xml:space="preserve">Metric</t>
  </si>
  <si>
    <t xml:space="preserve">Target</t>
  </si>
  <si>
    <t xml:space="preserve">Actual</t>
  </si>
  <si>
    <t xml:space="preserve">Threads</t>
  </si>
  <si>
    <t xml:space="preserve">Duration</t>
  </si>
  <si>
    <t xml:space="preserve">TC-501</t>
  </si>
  <si>
    <t xml:space="preserve">GET throughput (QPS)</t>
  </si>
  <si>
    <t xml:space="preserve">QPS</t>
  </si>
  <si>
    <t xml:space="preserve">100000</t>
  </si>
  <si>
    <t xml:space="preserve">10</t>
  </si>
  <si>
    <t xml:space="preserve">60s</t>
  </si>
  <si>
    <t xml:space="preserve">70% read</t>
  </si>
  <si>
    <t xml:space="preserve">TC-502</t>
  </si>
  <si>
    <t xml:space="preserve">SET throughput (QPS)</t>
  </si>
  <si>
    <t xml:space="preserve">80000</t>
  </si>
  <si>
    <t xml:space="preserve">30% write</t>
  </si>
  <si>
    <t xml:space="preserve">TC-503</t>
  </si>
  <si>
    <t xml:space="preserve">Mixed workload QPS</t>
  </si>
  <si>
    <t xml:space="preserve">150000</t>
  </si>
  <si>
    <t xml:space="preserve">20</t>
  </si>
  <si>
    <t xml:space="preserve">70/30 read/write</t>
  </si>
  <si>
    <t xml:space="preserve">TC-504</t>
  </si>
  <si>
    <t xml:space="preserve">GET latency avg</t>
  </si>
  <si>
    <t xml:space="preserve">Latency (ms)</t>
  </si>
  <si>
    <t xml:space="preserve">&lt;0.5</t>
  </si>
  <si>
    <t xml:space="preserve">TC-505</t>
  </si>
  <si>
    <t xml:space="preserve">GET latency p99</t>
  </si>
  <si>
    <t xml:space="preserve">&lt;2</t>
  </si>
  <si>
    <t xml:space="preserve">TC-506</t>
  </si>
  <si>
    <t xml:space="preserve">SET latency avg</t>
  </si>
  <si>
    <t xml:space="preserve">&lt;0.8</t>
  </si>
  <si>
    <t xml:space="preserve">TC-507</t>
  </si>
  <si>
    <t xml:space="preserve">Proxy overhead vs direct</t>
  </si>
  <si>
    <t xml:space="preserve">Overhead %</t>
  </si>
  <si>
    <t xml:space="preserve">&lt;5%</t>
  </si>
  <si>
    <t xml:space="preserve">Compare with direct Redis</t>
  </si>
  <si>
    <t xml:space="preserve">TC-508</t>
  </si>
  <si>
    <t xml:space="preserve">Pipeline performance</t>
  </si>
  <si>
    <t xml:space="preserve">500000</t>
  </si>
  <si>
    <t xml:space="preserve">100 commands per pipeline</t>
  </si>
  <si>
    <t xml:space="preserve">TC-509</t>
  </si>
  <si>
    <t xml:space="preserve">Connection pool efficiency</t>
  </si>
  <si>
    <t xml:space="preserve">Connections</t>
  </si>
  <si>
    <t xml:space="preserve">&lt;200</t>
  </si>
  <si>
    <t xml:space="preserve">50</t>
  </si>
  <si>
    <t xml:space="preserve">To backend Redis</t>
  </si>
  <si>
    <t xml:space="preserve">TC-510</t>
  </si>
  <si>
    <t xml:space="preserve">Memory usage under load</t>
  </si>
  <si>
    <t xml:space="preserve">Memory (GB)</t>
  </si>
  <si>
    <t xml:space="preserve">&lt;12</t>
  </si>
  <si>
    <t xml:space="preserve">300s</t>
  </si>
  <si>
    <t xml:space="preserve">Proxy JVM heap</t>
  </si>
  <si>
    <t xml:space="preserve">TC-601</t>
  </si>
  <si>
    <t xml:space="preserve">Redis master failover</t>
  </si>
  <si>
    <t xml:space="preserve">Kill Redis master</t>
  </si>
  <si>
    <t xml:space="preserve">Sentinel promotes replica &lt;10s</t>
  </si>
  <si>
    <t xml:space="preserve">Automatic failover</t>
  </si>
  <si>
    <t xml:space="preserve">TC-602</t>
  </si>
  <si>
    <t xml:space="preserve">Proxy detects new master</t>
  </si>
  <si>
    <t xml:space="preserve">Discovery</t>
  </si>
  <si>
    <t xml:space="preserve">After master failover</t>
  </si>
  <si>
    <t xml:space="preserve">Proxy routes to new master</t>
  </si>
  <si>
    <t xml:space="preserve">Via Sentinel</t>
  </si>
  <si>
    <t xml:space="preserve">TC-603</t>
  </si>
  <si>
    <t xml:space="preserve">Client reconnection</t>
  </si>
  <si>
    <t xml:space="preserve">Resilience</t>
  </si>
  <si>
    <t xml:space="preserve">During failover</t>
  </si>
  <si>
    <t xml:space="preserve">Clients retry, &lt;10s downtime</t>
  </si>
  <si>
    <t xml:space="preserve">TC-604</t>
  </si>
  <si>
    <t xml:space="preserve">No data loss during failover</t>
  </si>
  <si>
    <t xml:space="preserve">Data Integrity</t>
  </si>
  <si>
    <t xml:space="preserve">Check keys after failover</t>
  </si>
  <si>
    <t xml:space="preserve">All keys present</t>
  </si>
  <si>
    <t xml:space="preserve">AOF/RDB sync</t>
  </si>
  <si>
    <t xml:space="preserve">TC-605</t>
  </si>
  <si>
    <t xml:space="preserve">Sentinel quorum failover</t>
  </si>
  <si>
    <t xml:space="preserve">Sentinel</t>
  </si>
  <si>
    <t xml:space="preserve">2/3 sentinels agree</t>
  </si>
  <si>
    <t xml:space="preserve">Failover triggered</t>
  </si>
  <si>
    <t xml:space="preserve">TC-606</t>
  </si>
  <si>
    <t xml:space="preserve">Sentinel quorum loss</t>
  </si>
  <si>
    <t xml:space="preserve">Only 1/3 sentinels up</t>
  </si>
  <si>
    <t xml:space="preserve">No failover (safe)</t>
  </si>
  <si>
    <t xml:space="preserve">Prevent split-brain</t>
  </si>
  <si>
    <t xml:space="preserve">TC-607</t>
  </si>
  <si>
    <t xml:space="preserve">Proxy node failure</t>
  </si>
  <si>
    <t xml:space="preserve">Proxy HA</t>
  </si>
  <si>
    <t xml:space="preserve">Kill 1 proxy instance</t>
  </si>
  <si>
    <t xml:space="preserve">HAProxy routes to others</t>
  </si>
  <si>
    <t xml:space="preserve">Zero downtime</t>
  </si>
  <si>
    <t xml:space="preserve">TC-608</t>
  </si>
  <si>
    <t xml:space="preserve">All proxies down</t>
  </si>
  <si>
    <t xml:space="preserve">Kill all proxies</t>
  </si>
  <si>
    <t xml:space="preserve">Graceful error</t>
  </si>
  <si>
    <t xml:space="preserve">TC-609</t>
  </si>
  <si>
    <t xml:space="preserve">Dashboard failover</t>
  </si>
  <si>
    <t xml:space="preserve">Dashboard HA</t>
  </si>
  <si>
    <t xml:space="preserve">Primary dashboard down</t>
  </si>
  <si>
    <t xml:space="preserve">Proxies use secondary</t>
  </si>
  <si>
    <t xml:space="preserve">URL list</t>
  </si>
  <si>
    <t xml:space="preserve">TC-610</t>
  </si>
  <si>
    <t xml:space="preserve">Dashboard complete outage</t>
  </si>
  <si>
    <t xml:space="preserve">Both dashboards down</t>
  </si>
  <si>
    <t xml:space="preserve">Proxies use cached config</t>
  </si>
  <si>
    <t xml:space="preserve">Fallback mode</t>
  </si>
  <si>
    <t xml:space="preserve">TC-611</t>
  </si>
  <si>
    <t xml:space="preserve">Network partition healing</t>
  </si>
  <si>
    <t xml:space="preserve">Network</t>
  </si>
  <si>
    <t xml:space="preserve">Network restored</t>
  </si>
  <si>
    <t xml:space="preserve">Cluster converges</t>
  </si>
  <si>
    <t xml:space="preserve">TC-612</t>
  </si>
  <si>
    <t xml:space="preserve">Replica lag handling</t>
  </si>
  <si>
    <t xml:space="preserve">Replication</t>
  </si>
  <si>
    <t xml:space="preserve">Replica &gt;10s behind</t>
  </si>
  <si>
    <t xml:space="preserve">Proxy stops routing reads</t>
  </si>
  <si>
    <t xml:space="preserve">If R/W split</t>
  </si>
  <si>
    <t xml:space="preserve">TC-613</t>
  </si>
  <si>
    <t xml:space="preserve">Redis crash recovery</t>
  </si>
  <si>
    <t xml:space="preserve">Recovery</t>
  </si>
  <si>
    <t xml:space="preserve">Redis restart</t>
  </si>
  <si>
    <t xml:space="preserve">Loads RDB/AOF correctly</t>
  </si>
  <si>
    <t xml:space="preserve">TC-614</t>
  </si>
  <si>
    <t xml:space="preserve">Proxy graceful shutdown</t>
  </si>
  <si>
    <t xml:space="preserve">Deployment</t>
  </si>
  <si>
    <t xml:space="preserve">SIGTERM to proxy</t>
  </si>
  <si>
    <t xml:space="preserve">Drains connections</t>
  </si>
  <si>
    <t xml:space="preserve">TC-615</t>
  </si>
  <si>
    <t xml:space="preserve">Zero-downtime proxy upgrade</t>
  </si>
  <si>
    <t xml:space="preserve">Rolling upgrade 5 proxies</t>
  </si>
  <si>
    <t xml:space="preserve">No client errors</t>
  </si>
  <si>
    <t xml:space="preserve">Execution #</t>
  </si>
  <si>
    <t xml:space="preserve">Environment</t>
  </si>
  <si>
    <t xml:space="preserve">Duration (hrs)</t>
  </si>
  <si>
    <t xml:space="preserve">1</t>
  </si>
  <si>
    <t xml:space="preserve">Lab</t>
  </si>
  <si>
    <t xml:space="preserve">Initial test run</t>
  </si>
  <si>
    <t xml:space="preserve">2</t>
  </si>
  <si>
    <t xml:space="preserve">Staging</t>
  </si>
  <si>
    <t xml:space="preserve">Pre-production validation</t>
  </si>
  <si>
    <t xml:space="preserve">3</t>
  </si>
  <si>
    <t xml:space="preserve">Production</t>
  </si>
  <si>
    <t xml:space="preserve">Production smoke test</t>
  </si>
  <si>
    <t xml:space="preserve">CAMELLIA SUPPORTED REDIS COMMANDS REFERENCE</t>
  </si>
  <si>
    <t xml:space="preserve">Support Level</t>
  </si>
  <si>
    <t xml:space="preserve">Test Coverage</t>
  </si>
  <si>
    <t xml:space="preserve">GET, SET, INCR, DECR, APPEND</t>
  </si>
  <si>
    <t xml:space="preserve">Full</t>
  </si>
  <si>
    <t xml:space="preserve">All basic string ops</t>
  </si>
  <si>
    <t xml:space="preserve">TC-001 to TC-010</t>
  </si>
  <si>
    <t xml:space="preserve">MGET, MSET</t>
  </si>
  <si>
    <t xml:space="preserve">Use hash tags for cross-shard</t>
  </si>
  <si>
    <t xml:space="preserve">TC-101 to TC-104</t>
  </si>
  <si>
    <t xml:space="preserve">HGET, HSET, HGETALL, HDEL</t>
  </si>
  <si>
    <t xml:space="preserve">Standard hash operations</t>
  </si>
  <si>
    <t xml:space="preserve">TC-011 to TC-014</t>
  </si>
  <si>
    <t xml:space="preserve">LPUSH, RPUSH, LPOP, RPOP, LRANGE</t>
  </si>
  <si>
    <t xml:space="preserve">List operations</t>
  </si>
  <si>
    <t xml:space="preserve">TC-015 to TC-019</t>
  </si>
  <si>
    <t xml:space="preserve">SADD, SMEMBERS, SINTER, SUNION</t>
  </si>
  <si>
    <t xml:space="preserve">SINTER needs hash tags</t>
  </si>
  <si>
    <t xml:space="preserve">TC-020 to TC-109</t>
  </si>
  <si>
    <t xml:space="preserve">ZADD, ZRANGE, ZINTERSTORE</t>
  </si>
  <si>
    <t xml:space="preserve">Inter ops need hash tags</t>
  </si>
  <si>
    <t xml:space="preserve">TC-023 to TC-111</t>
  </si>
  <si>
    <t xml:space="preserve">EXISTS, DEL, EXPIRE, TTL</t>
  </si>
  <si>
    <t xml:space="preserve">Key management</t>
  </si>
  <si>
    <t xml:space="preserve">TC-003 to TC-006</t>
  </si>
  <si>
    <t xml:space="preserve">Cross-shard supported</t>
  </si>
  <si>
    <t xml:space="preserve">Dangerous in production</t>
  </si>
  <si>
    <t xml:space="preserve">Pub/Sub</t>
  </si>
  <si>
    <t xml:space="preserve">PUBLISH, SUBSCRIBE</t>
  </si>
  <si>
    <t xml:space="preserve">Partial</t>
  </si>
  <si>
    <t xml:space="preserve">No custom sharding support</t>
  </si>
  <si>
    <t xml:space="preserve">Not tested</t>
  </si>
  <si>
    <t xml:space="preserve">MULTI, EXEC</t>
  </si>
  <si>
    <t xml:space="preserve">Same shard only</t>
  </si>
  <si>
    <t xml:space="preserve">Scripting</t>
  </si>
  <si>
    <t xml:space="preserve">EVAL, EVALSHA</t>
  </si>
  <si>
    <t xml:space="preserve">Lua scripts supported</t>
  </si>
  <si>
    <t xml:space="preserve">Admin</t>
  </si>
  <si>
    <t xml:space="preserve">CONFIG, FLUSHDB, FLUSHALL</t>
  </si>
  <si>
    <t xml:space="preserve">Security restriction</t>
  </si>
  <si>
    <t xml:space="preserve">Streams</t>
  </si>
  <si>
    <t xml:space="preserve">XADD, XREAD, XGROUP</t>
  </si>
  <si>
    <t xml:space="preserve">Redis Streams supported</t>
  </si>
  <si>
    <t xml:space="preserve">JSON</t>
  </si>
  <si>
    <t xml:space="preserve">JSON.SET, JSON.GET</t>
  </si>
  <si>
    <t xml:space="preserve">RedisJSON module</t>
  </si>
  <si>
    <t xml:space="preserve">Search</t>
  </si>
  <si>
    <t xml:space="preserve">FT.SEARCH, FT.CREATE</t>
  </si>
  <si>
    <t xml:space="preserve">RediSearch module</t>
  </si>
  <si>
    <t xml:space="preserve">PRODUCTION TOPOLOGY REFERENCE</t>
  </si>
  <si>
    <t xml:space="preserve">Component</t>
  </si>
  <si>
    <t xml:space="preserve">Quantity</t>
  </si>
  <si>
    <t xml:space="preserve">IP/Endpoint</t>
  </si>
  <si>
    <t xml:space="preserve">Port</t>
  </si>
  <si>
    <t xml:space="preserve">Purpose</t>
  </si>
  <si>
    <t xml:space="preserve">HA Mode</t>
  </si>
  <si>
    <t xml:space="preserve">HAProxy VIP</t>
  </si>
  <si>
    <t xml:space="preserve">10.0.1.100</t>
  </si>
  <si>
    <t xml:space="preserve">6379</t>
  </si>
  <si>
    <t xml:space="preserve">Client entry point</t>
  </si>
  <si>
    <t xml:space="preserve">Keepalived VRRP</t>
  </si>
  <si>
    <t xml:space="preserve">HAProxy Nodes</t>
  </si>
  <si>
    <t xml:space="preserve">10.0.1.10-11</t>
  </si>
  <si>
    <t xml:space="preserve">6379, 8404</t>
  </si>
  <si>
    <t xml:space="preserve">L4 load balancing</t>
  </si>
  <si>
    <t xml:space="preserve">Active/Standby</t>
  </si>
  <si>
    <t xml:space="preserve">Camellia Proxy</t>
  </si>
  <si>
    <t xml:space="preserve">5</t>
  </si>
  <si>
    <t xml:space="preserve">10.0.2.11-15</t>
  </si>
  <si>
    <t xml:space="preserve">6379, 16379</t>
  </si>
  <si>
    <t xml:space="preserve">Redis proxy &amp; routing</t>
  </si>
  <si>
    <t xml:space="preserve">Stateless cluster</t>
  </si>
  <si>
    <t xml:space="preserve">Camellia Dashboard</t>
  </si>
  <si>
    <t xml:space="preserve">10.0.3.10-11</t>
  </si>
  <si>
    <t xml:space="preserve">8080</t>
  </si>
  <si>
    <t xml:space="preserve">Control plane</t>
  </si>
  <si>
    <t xml:space="preserve">Active/Active</t>
  </si>
  <si>
    <t xml:space="preserve">MySQL (Dashboard)</t>
  </si>
  <si>
    <t xml:space="preserve">10.0.3.20-21</t>
  </si>
  <si>
    <t xml:space="preserve">3306</t>
  </si>
  <si>
    <t xml:space="preserve">Config storage</t>
  </si>
  <si>
    <t xml:space="preserve">Master/Slave</t>
  </si>
  <si>
    <t xml:space="preserve">Redis Pool 1</t>
  </si>
  <si>
    <t xml:space="preserve">6</t>
  </si>
  <si>
    <t xml:space="preserve">10.1.10.10-103</t>
  </si>
  <si>
    <t xml:space="preserve">6379, 26379</t>
  </si>
  <si>
    <t xml:space="preserve">1M+2R+3S</t>
  </si>
  <si>
    <t xml:space="preserve">Sentinel HA</t>
  </si>
  <si>
    <t xml:space="preserve">Redis Pool 2-10</t>
  </si>
  <si>
    <t xml:space="preserve">54</t>
  </si>
  <si>
    <t xml:space="preserve">10.1.20-100.*</t>
  </si>
  <si>
    <t xml:space="preserve">Same as Pool 1</t>
  </si>
  <si>
    <t xml:space="preserve">Prometheus</t>
  </si>
  <si>
    <t xml:space="preserve">10.0.4.10</t>
  </si>
  <si>
    <t xml:space="preserve">9090</t>
  </si>
  <si>
    <t xml:space="preserve">Metrics collection</t>
  </si>
  <si>
    <t xml:space="preserve">Standalone</t>
  </si>
  <si>
    <t xml:space="preserve">Grafana</t>
  </si>
  <si>
    <t xml:space="preserve">10.0.4.11</t>
  </si>
  <si>
    <t xml:space="preserve">3000</t>
  </si>
  <si>
    <t xml:space="preserve">Dashboards</t>
  </si>
  <si>
    <t xml:space="preserve">Total Instances</t>
  </si>
  <si>
    <t xml:space="preserve">73</t>
  </si>
  <si>
    <t xml:space="preserve">Full production stack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</si>
</sst>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2E75B5"/>
      </patternFill>
    </fill>
    <fill>
      <patternFill patternType="solid">
        <fgColor rgb="FF2E75B5"/>
        <bgColor rgb="FF4472C4"/>
      </patternFill>
    </fill>
    <fill>
      <patternFill patternType="solid">
        <fgColor rgb="FFF2F2F2"/>
        <bgColor rgb="FFF8F9FA"/>
      </patternFill>
    </fill>
    <fill>
      <patternFill patternType="solid">
        <fgColor rgb="FFFFD966"/>
        <bgColor rgb="FFFFEB9C"/>
      </patternFill>
    </fill>
    <fill>
      <patternFill patternType="solid">
        <fgColor rgb="FFF8F9FA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D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A"/>
      <rgbColor rgb="FFF2F2F2"/>
      <rgbColor rgb="FF660066"/>
      <rgbColor rgb="FFFF8080"/>
      <rgbColor rgb="FF2E75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D966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  <col collapsed="false" customWidth="true" hidden="false" outlineLevel="0" max="6" min="3" style="0" width="10"/>
    <col collapsed="false" customWidth="true" hidden="false" outlineLevel="0" max="8" min="7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9" customFormat="false" ht="24.75" hidden="false" customHeight="true" outlineLevel="0" collapsed="false">
      <c r="A9" s="4" t="s">
        <v>11</v>
      </c>
      <c r="B9" s="4"/>
      <c r="C9" s="4"/>
      <c r="D9" s="4"/>
      <c r="E9" s="4"/>
      <c r="F9" s="4"/>
      <c r="G9" s="4"/>
      <c r="H9" s="4"/>
    </row>
    <row r="11" customFormat="false" ht="15" hidden="false" customHeight="false" outlineLevel="0" collapsed="false">
      <c r="A11" s="5" t="s">
        <v>12</v>
      </c>
      <c r="B11" s="5" t="s">
        <v>13</v>
      </c>
      <c r="C11" s="5" t="s">
        <v>14</v>
      </c>
      <c r="D11" s="5" t="s">
        <v>15</v>
      </c>
      <c r="E11" s="5" t="s">
        <v>16</v>
      </c>
      <c r="F11" s="5" t="s">
        <v>17</v>
      </c>
      <c r="G11" s="5" t="s">
        <v>18</v>
      </c>
      <c r="H11" s="5" t="s">
        <v>19</v>
      </c>
    </row>
    <row r="12" customFormat="false" ht="15" hidden="false" customHeight="false" outlineLevel="0" collapsed="false">
      <c r="A12" s="6" t="s">
        <v>20</v>
      </c>
      <c r="B12" s="6" t="n">
        <v>25</v>
      </c>
      <c r="C12" s="6" t="n">
        <v>0</v>
      </c>
      <c r="D12" s="6" t="n">
        <v>0</v>
      </c>
      <c r="E12" s="6" t="n">
        <v>0</v>
      </c>
      <c r="F12" s="6" t="n">
        <f aca="false">B12-C12-D12-E12</f>
        <v>25</v>
      </c>
      <c r="G12" s="7" t="n">
        <f aca="false">IF(B12=0,0,C12/B12)</f>
        <v>0</v>
      </c>
      <c r="H12" s="6" t="str">
        <f aca="false">IF(G12&gt;=0.95,"PASS",IF(G12&gt;=0.8,"WARNING","FAIL"))</f>
        <v>FAIL</v>
      </c>
    </row>
    <row r="13" customFormat="false" ht="15" hidden="false" customHeight="false" outlineLevel="0" collapsed="false">
      <c r="A13" s="0" t="s">
        <v>21</v>
      </c>
      <c r="B13" s="0" t="n">
        <v>15</v>
      </c>
      <c r="C13" s="0" t="n">
        <v>0</v>
      </c>
      <c r="D13" s="0" t="n">
        <v>0</v>
      </c>
      <c r="E13" s="0" t="n">
        <v>0</v>
      </c>
      <c r="F13" s="0" t="n">
        <f aca="false">B13-C13-D13-E13</f>
        <v>15</v>
      </c>
      <c r="G13" s="8" t="n">
        <f aca="false">IF(B13=0,0,C13/B13)</f>
        <v>0</v>
      </c>
      <c r="H13" s="0" t="str">
        <f aca="false">IF(G13&gt;=0.95,"PASS",IF(G13&gt;=0.8,"WARNING","FAIL"))</f>
        <v>FAIL</v>
      </c>
    </row>
    <row r="14" customFormat="false" ht="15" hidden="false" customHeight="false" outlineLevel="0" collapsed="false">
      <c r="A14" s="6" t="s">
        <v>22</v>
      </c>
      <c r="B14" s="6" t="n">
        <v>20</v>
      </c>
      <c r="C14" s="6" t="n">
        <v>0</v>
      </c>
      <c r="D14" s="6" t="n">
        <v>0</v>
      </c>
      <c r="E14" s="6" t="n">
        <v>0</v>
      </c>
      <c r="F14" s="6" t="n">
        <f aca="false">B14-C14-D14-E14</f>
        <v>20</v>
      </c>
      <c r="G14" s="7" t="n">
        <f aca="false">IF(B14=0,0,C14/B14)</f>
        <v>0</v>
      </c>
      <c r="H14" s="6" t="str">
        <f aca="false">IF(G14&gt;=0.95,"PASS",IF(G14&gt;=0.8,"WARNING","FAIL"))</f>
        <v>FAIL</v>
      </c>
    </row>
    <row r="15" customFormat="false" ht="15" hidden="false" customHeight="false" outlineLevel="0" collapsed="false">
      <c r="A15" s="0" t="s">
        <v>23</v>
      </c>
      <c r="B15" s="0" t="n">
        <v>12</v>
      </c>
      <c r="C15" s="0" t="n">
        <v>0</v>
      </c>
      <c r="D15" s="0" t="n">
        <v>0</v>
      </c>
      <c r="E15" s="0" t="n">
        <v>0</v>
      </c>
      <c r="F15" s="0" t="n">
        <f aca="false">B15-C15-D15-E15</f>
        <v>12</v>
      </c>
      <c r="G15" s="8" t="n">
        <f aca="false">IF(B15=0,0,C15/B15)</f>
        <v>0</v>
      </c>
      <c r="H15" s="0" t="str">
        <f aca="false">IF(G15&gt;=0.95,"PASS",IF(G15&gt;=0.8,"WARNING","FAIL"))</f>
        <v>FAIL</v>
      </c>
    </row>
    <row r="16" customFormat="false" ht="15" hidden="false" customHeight="false" outlineLevel="0" collapsed="false">
      <c r="A16" s="6" t="s">
        <v>24</v>
      </c>
      <c r="B16" s="6" t="n">
        <v>10</v>
      </c>
      <c r="C16" s="6" t="n">
        <v>0</v>
      </c>
      <c r="D16" s="6" t="n">
        <v>0</v>
      </c>
      <c r="E16" s="6" t="n">
        <v>0</v>
      </c>
      <c r="F16" s="6" t="n">
        <f aca="false">B16-C16-D16-E16</f>
        <v>10</v>
      </c>
      <c r="G16" s="7" t="n">
        <f aca="false">IF(B16=0,0,C16/B16)</f>
        <v>0</v>
      </c>
      <c r="H16" s="6" t="str">
        <f aca="false">IF(G16&gt;=0.95,"PASS",IF(G16&gt;=0.8,"WARNING","FAIL"))</f>
        <v>FAIL</v>
      </c>
    </row>
    <row r="17" customFormat="false" ht="15" hidden="false" customHeight="false" outlineLevel="0" collapsed="false">
      <c r="A17" s="0" t="s">
        <v>25</v>
      </c>
      <c r="B17" s="0" t="n">
        <v>8</v>
      </c>
      <c r="C17" s="0" t="n">
        <v>0</v>
      </c>
      <c r="D17" s="0" t="n">
        <v>0</v>
      </c>
      <c r="E17" s="0" t="n">
        <v>0</v>
      </c>
      <c r="F17" s="0" t="n">
        <f aca="false">B17-C17-D17-E17</f>
        <v>8</v>
      </c>
      <c r="G17" s="8" t="n">
        <f aca="false">IF(B17=0,0,C17/B17)</f>
        <v>0</v>
      </c>
      <c r="H17" s="0" t="str">
        <f aca="false">IF(G17&gt;=0.95,"PASS",IF(G17&gt;=0.8,"WARNING","FAIL"))</f>
        <v>FAIL</v>
      </c>
    </row>
    <row r="18" customFormat="false" ht="15" hidden="false" customHeight="false" outlineLevel="0" collapsed="false">
      <c r="A18" s="6" t="s">
        <v>26</v>
      </c>
      <c r="B18" s="6" t="n">
        <v>15</v>
      </c>
      <c r="C18" s="6" t="n">
        <v>0</v>
      </c>
      <c r="D18" s="6" t="n">
        <v>0</v>
      </c>
      <c r="E18" s="6" t="n">
        <v>0</v>
      </c>
      <c r="F18" s="6" t="n">
        <f aca="false">B18-C18-D18-E18</f>
        <v>15</v>
      </c>
      <c r="G18" s="7" t="n">
        <f aca="false">IF(B18=0,0,C18/B18)</f>
        <v>0</v>
      </c>
      <c r="H18" s="6" t="str">
        <f aca="false">IF(G18&gt;=0.95,"PASS",IF(G18&gt;=0.8,"WARNING","FAIL"))</f>
        <v>FAIL</v>
      </c>
    </row>
    <row r="19" customFormat="false" ht="15" hidden="false" customHeight="false" outlineLevel="0" collapsed="false">
      <c r="A19" s="0" t="s">
        <v>27</v>
      </c>
      <c r="B19" s="0" t="n">
        <v>10</v>
      </c>
      <c r="C19" s="0" t="n">
        <v>0</v>
      </c>
      <c r="D19" s="0" t="n">
        <v>0</v>
      </c>
      <c r="E19" s="0" t="n">
        <v>0</v>
      </c>
      <c r="F19" s="0" t="n">
        <f aca="false">B19-C19-D19-E19</f>
        <v>10</v>
      </c>
      <c r="G19" s="8" t="n">
        <f aca="false">IF(B19=0,0,C19/B19)</f>
        <v>0</v>
      </c>
      <c r="H19" s="0" t="str">
        <f aca="false">IF(G19&gt;=0.95,"PASS",IF(G19&gt;=0.8,"WARNING","FAIL"))</f>
        <v>FAIL</v>
      </c>
    </row>
    <row r="20" customFormat="false" ht="15" hidden="false" customHeight="false" outlineLevel="0" collapsed="false">
      <c r="A20" s="6" t="s">
        <v>28</v>
      </c>
      <c r="B20" s="6" t="n">
        <v>8</v>
      </c>
      <c r="C20" s="6" t="n">
        <v>0</v>
      </c>
      <c r="D20" s="6" t="n">
        <v>0</v>
      </c>
      <c r="E20" s="6" t="n">
        <v>0</v>
      </c>
      <c r="F20" s="6" t="n">
        <f aca="false">B20-C20-D20-E20</f>
        <v>8</v>
      </c>
      <c r="G20" s="7" t="n">
        <f aca="false">IF(B20=0,0,C20/B20)</f>
        <v>0</v>
      </c>
      <c r="H20" s="6" t="str">
        <f aca="false">IF(G20&gt;=0.95,"PASS",IF(G20&gt;=0.8,"WARNING","FAIL"))</f>
        <v>FAIL</v>
      </c>
    </row>
    <row r="21" customFormat="false" ht="15" hidden="false" customHeight="false" outlineLevel="0" collapsed="false">
      <c r="A21" s="0" t="s">
        <v>29</v>
      </c>
      <c r="B21" s="0" t="n">
        <v>12</v>
      </c>
      <c r="C21" s="0" t="n">
        <v>0</v>
      </c>
      <c r="D21" s="0" t="n">
        <v>0</v>
      </c>
      <c r="E21" s="0" t="n">
        <v>0</v>
      </c>
      <c r="F21" s="0" t="n">
        <f aca="false">B21-C21-D21-E21</f>
        <v>12</v>
      </c>
      <c r="G21" s="8" t="n">
        <f aca="false">IF(B21=0,0,C21/B21)</f>
        <v>0</v>
      </c>
      <c r="H21" s="0" t="str">
        <f aca="false">IF(G21&gt;=0.95,"PASS",IF(G21&gt;=0.8,"WARNING","FAIL"))</f>
        <v>FAIL</v>
      </c>
    </row>
    <row r="22" customFormat="false" ht="15" hidden="false" customHeight="false" outlineLevel="0" collapsed="false">
      <c r="A22" s="9" t="s">
        <v>30</v>
      </c>
      <c r="B22" s="9" t="n">
        <f aca="false">SUM(B12:B21)</f>
        <v>135</v>
      </c>
      <c r="C22" s="9" t="n">
        <f aca="false">SUM(C12:C21)</f>
        <v>0</v>
      </c>
      <c r="D22" s="9" t="n">
        <f aca="false">SUM(D12:D21)</f>
        <v>0</v>
      </c>
      <c r="E22" s="9" t="n">
        <f aca="false">SUM(E12:E21)</f>
        <v>0</v>
      </c>
      <c r="F22" s="9" t="n">
        <f aca="false">SUM(F12:F21)</f>
        <v>135</v>
      </c>
      <c r="G22" s="10" t="n">
        <f aca="false">C22/B22</f>
        <v>0</v>
      </c>
    </row>
  </sheetData>
  <mergeCells count="2">
    <mergeCell ref="A1:H1"/>
    <mergeCell ref="A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25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10" min="9" style="0" width="12"/>
    <col collapsed="false" customWidth="true" hidden="false" outlineLevel="0" max="11" min="11" style="0" width="30"/>
  </cols>
  <sheetData>
    <row r="1" customFormat="false" ht="15" hidden="false" customHeight="false" outlineLevel="0" collapsed="false">
      <c r="A1" s="11" t="s">
        <v>31</v>
      </c>
      <c r="B1" s="11" t="s">
        <v>32</v>
      </c>
      <c r="C1" s="11" t="s">
        <v>12</v>
      </c>
      <c r="D1" s="11" t="s">
        <v>33</v>
      </c>
      <c r="E1" s="11" t="s">
        <v>34</v>
      </c>
      <c r="F1" s="11" t="s">
        <v>35</v>
      </c>
      <c r="G1" s="11" t="s">
        <v>19</v>
      </c>
      <c r="H1" s="11" t="s">
        <v>36</v>
      </c>
      <c r="I1" s="11" t="s">
        <v>37</v>
      </c>
      <c r="J1" s="11" t="s">
        <v>38</v>
      </c>
      <c r="K1" s="11" t="s">
        <v>39</v>
      </c>
    </row>
    <row r="2" customFormat="false" ht="15" hidden="false" customHeight="false" outlineLevel="0" collapsed="false">
      <c r="A2" s="12" t="s">
        <v>40</v>
      </c>
      <c r="B2" s="12" t="s">
        <v>41</v>
      </c>
      <c r="C2" s="12" t="s">
        <v>42</v>
      </c>
      <c r="D2" s="12" t="s">
        <v>43</v>
      </c>
      <c r="E2" s="12" t="s">
        <v>44</v>
      </c>
      <c r="F2" s="12"/>
      <c r="G2" s="12" t="s">
        <v>17</v>
      </c>
      <c r="H2" s="12" t="s">
        <v>45</v>
      </c>
      <c r="I2" s="12"/>
      <c r="J2" s="12"/>
      <c r="K2" s="12"/>
    </row>
    <row r="3" customFormat="false" ht="15" hidden="false" customHeight="false" outlineLevel="0" collapsed="false">
      <c r="A3" s="0" t="s">
        <v>46</v>
      </c>
      <c r="B3" s="0" t="s">
        <v>47</v>
      </c>
      <c r="C3" s="0" t="s">
        <v>42</v>
      </c>
      <c r="D3" s="0" t="s">
        <v>48</v>
      </c>
      <c r="E3" s="0" t="s">
        <v>49</v>
      </c>
      <c r="G3" s="0" t="s">
        <v>17</v>
      </c>
      <c r="H3" s="0" t="s">
        <v>45</v>
      </c>
    </row>
    <row r="4" customFormat="false" ht="15" hidden="false" customHeight="false" outlineLevel="0" collapsed="false">
      <c r="A4" s="12" t="s">
        <v>50</v>
      </c>
      <c r="B4" s="12" t="s">
        <v>51</v>
      </c>
      <c r="C4" s="12" t="s">
        <v>42</v>
      </c>
      <c r="D4" s="12" t="s">
        <v>52</v>
      </c>
      <c r="E4" s="12" t="s">
        <v>53</v>
      </c>
      <c r="F4" s="12"/>
      <c r="G4" s="12" t="s">
        <v>17</v>
      </c>
      <c r="H4" s="12" t="s">
        <v>54</v>
      </c>
      <c r="I4" s="12"/>
      <c r="J4" s="12"/>
      <c r="K4" s="12"/>
    </row>
    <row r="5" customFormat="false" ht="15" hidden="false" customHeight="false" outlineLevel="0" collapsed="false">
      <c r="A5" s="0" t="s">
        <v>55</v>
      </c>
      <c r="B5" s="0" t="s">
        <v>56</v>
      </c>
      <c r="C5" s="0" t="s">
        <v>42</v>
      </c>
      <c r="D5" s="0" t="s">
        <v>57</v>
      </c>
      <c r="E5" s="0" t="s">
        <v>58</v>
      </c>
      <c r="G5" s="0" t="s">
        <v>17</v>
      </c>
      <c r="H5" s="0" t="s">
        <v>45</v>
      </c>
    </row>
    <row r="6" customFormat="false" ht="15" hidden="false" customHeight="false" outlineLevel="0" collapsed="false">
      <c r="A6" s="12" t="s">
        <v>59</v>
      </c>
      <c r="B6" s="12" t="s">
        <v>60</v>
      </c>
      <c r="C6" s="12" t="s">
        <v>42</v>
      </c>
      <c r="D6" s="12" t="s">
        <v>61</v>
      </c>
      <c r="E6" s="12" t="s">
        <v>44</v>
      </c>
      <c r="F6" s="12"/>
      <c r="G6" s="12" t="s">
        <v>17</v>
      </c>
      <c r="H6" s="12" t="s">
        <v>45</v>
      </c>
      <c r="I6" s="12"/>
      <c r="J6" s="12"/>
      <c r="K6" s="12" t="s">
        <v>62</v>
      </c>
    </row>
    <row r="7" customFormat="false" ht="15" hidden="false" customHeight="false" outlineLevel="0" collapsed="false">
      <c r="A7" s="0" t="s">
        <v>63</v>
      </c>
      <c r="B7" s="0" t="s">
        <v>64</v>
      </c>
      <c r="C7" s="0" t="s">
        <v>42</v>
      </c>
      <c r="D7" s="0" t="s">
        <v>65</v>
      </c>
      <c r="E7" s="0" t="s">
        <v>66</v>
      </c>
      <c r="G7" s="0" t="s">
        <v>17</v>
      </c>
      <c r="H7" s="0" t="s">
        <v>54</v>
      </c>
    </row>
    <row r="8" customFormat="false" ht="15" hidden="false" customHeight="false" outlineLevel="0" collapsed="false">
      <c r="A8" s="12" t="s">
        <v>67</v>
      </c>
      <c r="B8" s="12" t="s">
        <v>68</v>
      </c>
      <c r="C8" s="12" t="s">
        <v>42</v>
      </c>
      <c r="D8" s="12" t="s">
        <v>68</v>
      </c>
      <c r="E8" s="12" t="s">
        <v>58</v>
      </c>
      <c r="F8" s="12"/>
      <c r="G8" s="12" t="s">
        <v>17</v>
      </c>
      <c r="H8" s="12" t="s">
        <v>45</v>
      </c>
      <c r="I8" s="12"/>
      <c r="J8" s="12"/>
      <c r="K8" s="12"/>
    </row>
    <row r="9" customFormat="false" ht="15" hidden="false" customHeight="false" outlineLevel="0" collapsed="false">
      <c r="A9" s="0" t="s">
        <v>69</v>
      </c>
      <c r="B9" s="0" t="s">
        <v>70</v>
      </c>
      <c r="C9" s="0" t="s">
        <v>42</v>
      </c>
      <c r="D9" s="0" t="s">
        <v>71</v>
      </c>
      <c r="E9" s="0" t="s">
        <v>72</v>
      </c>
      <c r="G9" s="0" t="s">
        <v>17</v>
      </c>
      <c r="H9" s="0" t="s">
        <v>45</v>
      </c>
    </row>
    <row r="10" customFormat="false" ht="15" hidden="false" customHeight="false" outlineLevel="0" collapsed="false">
      <c r="A10" s="12" t="s">
        <v>73</v>
      </c>
      <c r="B10" s="12" t="s">
        <v>74</v>
      </c>
      <c r="C10" s="12" t="s">
        <v>42</v>
      </c>
      <c r="D10" s="12" t="s">
        <v>74</v>
      </c>
      <c r="E10" s="12" t="s">
        <v>75</v>
      </c>
      <c r="F10" s="12"/>
      <c r="G10" s="12" t="s">
        <v>17</v>
      </c>
      <c r="H10" s="12" t="s">
        <v>54</v>
      </c>
      <c r="I10" s="12"/>
      <c r="J10" s="12"/>
      <c r="K10" s="12"/>
    </row>
    <row r="11" customFormat="false" ht="15" hidden="false" customHeight="false" outlineLevel="0" collapsed="false">
      <c r="A11" s="0" t="s">
        <v>76</v>
      </c>
      <c r="B11" s="0" t="s">
        <v>77</v>
      </c>
      <c r="C11" s="0" t="s">
        <v>42</v>
      </c>
      <c r="D11" s="0" t="s">
        <v>78</v>
      </c>
      <c r="E11" s="0" t="s">
        <v>79</v>
      </c>
      <c r="G11" s="0" t="s">
        <v>17</v>
      </c>
      <c r="H11" s="0" t="s">
        <v>54</v>
      </c>
    </row>
    <row r="12" customFormat="false" ht="15" hidden="false" customHeight="false" outlineLevel="0" collapsed="false">
      <c r="A12" s="12" t="s">
        <v>80</v>
      </c>
      <c r="B12" s="12" t="s">
        <v>81</v>
      </c>
      <c r="C12" s="12" t="s">
        <v>82</v>
      </c>
      <c r="D12" s="12" t="s">
        <v>83</v>
      </c>
      <c r="E12" s="12" t="s">
        <v>58</v>
      </c>
      <c r="F12" s="12"/>
      <c r="G12" s="12" t="s">
        <v>17</v>
      </c>
      <c r="H12" s="12" t="s">
        <v>45</v>
      </c>
      <c r="I12" s="12"/>
      <c r="J12" s="12"/>
      <c r="K12" s="12"/>
    </row>
    <row r="13" customFormat="false" ht="15" hidden="false" customHeight="false" outlineLevel="0" collapsed="false">
      <c r="A13" s="0" t="s">
        <v>84</v>
      </c>
      <c r="B13" s="0" t="s">
        <v>85</v>
      </c>
      <c r="C13" s="0" t="s">
        <v>82</v>
      </c>
      <c r="D13" s="0" t="s">
        <v>86</v>
      </c>
      <c r="E13" s="0" t="s">
        <v>87</v>
      </c>
      <c r="G13" s="0" t="s">
        <v>17</v>
      </c>
      <c r="H13" s="0" t="s">
        <v>45</v>
      </c>
    </row>
    <row r="14" customFormat="false" ht="15" hidden="false" customHeight="false" outlineLevel="0" collapsed="false">
      <c r="A14" s="12" t="s">
        <v>88</v>
      </c>
      <c r="B14" s="12" t="s">
        <v>89</v>
      </c>
      <c r="C14" s="12" t="s">
        <v>82</v>
      </c>
      <c r="D14" s="12" t="s">
        <v>90</v>
      </c>
      <c r="E14" s="12" t="s">
        <v>91</v>
      </c>
      <c r="F14" s="12"/>
      <c r="G14" s="12" t="s">
        <v>17</v>
      </c>
      <c r="H14" s="12" t="s">
        <v>45</v>
      </c>
      <c r="I14" s="12"/>
      <c r="J14" s="12"/>
      <c r="K14" s="12"/>
    </row>
    <row r="15" customFormat="false" ht="15" hidden="false" customHeight="false" outlineLevel="0" collapsed="false">
      <c r="A15" s="0" t="s">
        <v>92</v>
      </c>
      <c r="B15" s="0" t="s">
        <v>93</v>
      </c>
      <c r="C15" s="0" t="s">
        <v>82</v>
      </c>
      <c r="D15" s="0" t="s">
        <v>94</v>
      </c>
      <c r="E15" s="0" t="s">
        <v>58</v>
      </c>
      <c r="G15" s="0" t="s">
        <v>17</v>
      </c>
      <c r="H15" s="0" t="s">
        <v>54</v>
      </c>
    </row>
    <row r="16" customFormat="false" ht="15" hidden="false" customHeight="false" outlineLevel="0" collapsed="false">
      <c r="A16" s="12" t="s">
        <v>95</v>
      </c>
      <c r="B16" s="12" t="s">
        <v>96</v>
      </c>
      <c r="C16" s="12" t="s">
        <v>97</v>
      </c>
      <c r="D16" s="12" t="s">
        <v>98</v>
      </c>
      <c r="E16" s="12" t="s">
        <v>58</v>
      </c>
      <c r="F16" s="12"/>
      <c r="G16" s="12" t="s">
        <v>17</v>
      </c>
      <c r="H16" s="12" t="s">
        <v>45</v>
      </c>
      <c r="I16" s="12"/>
      <c r="J16" s="12"/>
      <c r="K16" s="12"/>
    </row>
    <row r="17" customFormat="false" ht="15" hidden="false" customHeight="false" outlineLevel="0" collapsed="false">
      <c r="A17" s="0" t="s">
        <v>99</v>
      </c>
      <c r="B17" s="0" t="s">
        <v>100</v>
      </c>
      <c r="C17" s="0" t="s">
        <v>97</v>
      </c>
      <c r="D17" s="0" t="s">
        <v>101</v>
      </c>
      <c r="E17" s="0" t="s">
        <v>102</v>
      </c>
      <c r="G17" s="0" t="s">
        <v>17</v>
      </c>
      <c r="H17" s="0" t="s">
        <v>45</v>
      </c>
    </row>
    <row r="18" customFormat="false" ht="15" hidden="false" customHeight="false" outlineLevel="0" collapsed="false">
      <c r="A18" s="12" t="s">
        <v>103</v>
      </c>
      <c r="B18" s="12" t="s">
        <v>104</v>
      </c>
      <c r="C18" s="12" t="s">
        <v>97</v>
      </c>
      <c r="D18" s="12" t="s">
        <v>105</v>
      </c>
      <c r="E18" s="12" t="s">
        <v>106</v>
      </c>
      <c r="F18" s="12"/>
      <c r="G18" s="12" t="s">
        <v>17</v>
      </c>
      <c r="H18" s="12" t="s">
        <v>45</v>
      </c>
      <c r="I18" s="12"/>
      <c r="J18" s="12"/>
      <c r="K18" s="12"/>
    </row>
    <row r="19" customFormat="false" ht="15" hidden="false" customHeight="false" outlineLevel="0" collapsed="false">
      <c r="A19" s="0" t="s">
        <v>107</v>
      </c>
      <c r="B19" s="0" t="s">
        <v>108</v>
      </c>
      <c r="C19" s="0" t="s">
        <v>97</v>
      </c>
      <c r="D19" s="0" t="s">
        <v>109</v>
      </c>
      <c r="E19" s="0" t="s">
        <v>110</v>
      </c>
      <c r="G19" s="0" t="s">
        <v>17</v>
      </c>
      <c r="H19" s="0" t="s">
        <v>45</v>
      </c>
    </row>
    <row r="20" customFormat="false" ht="15" hidden="false" customHeight="false" outlineLevel="0" collapsed="false">
      <c r="A20" s="12" t="s">
        <v>111</v>
      </c>
      <c r="B20" s="12" t="s">
        <v>112</v>
      </c>
      <c r="C20" s="12" t="s">
        <v>97</v>
      </c>
      <c r="D20" s="12" t="s">
        <v>113</v>
      </c>
      <c r="E20" s="12" t="s">
        <v>114</v>
      </c>
      <c r="F20" s="12"/>
      <c r="G20" s="12" t="s">
        <v>17</v>
      </c>
      <c r="H20" s="12" t="s">
        <v>54</v>
      </c>
      <c r="I20" s="12"/>
      <c r="J20" s="12"/>
      <c r="K20" s="12"/>
    </row>
    <row r="21" customFormat="false" ht="15" hidden="false" customHeight="false" outlineLevel="0" collapsed="false">
      <c r="A21" s="0" t="s">
        <v>115</v>
      </c>
      <c r="B21" s="0" t="s">
        <v>116</v>
      </c>
      <c r="C21" s="0" t="s">
        <v>117</v>
      </c>
      <c r="D21" s="0" t="s">
        <v>118</v>
      </c>
      <c r="E21" s="0" t="s">
        <v>58</v>
      </c>
      <c r="G21" s="0" t="s">
        <v>17</v>
      </c>
      <c r="H21" s="0" t="s">
        <v>45</v>
      </c>
    </row>
    <row r="22" customFormat="false" ht="15" hidden="false" customHeight="false" outlineLevel="0" collapsed="false">
      <c r="A22" s="12" t="s">
        <v>119</v>
      </c>
      <c r="B22" s="12" t="s">
        <v>120</v>
      </c>
      <c r="C22" s="12" t="s">
        <v>117</v>
      </c>
      <c r="D22" s="12" t="s">
        <v>121</v>
      </c>
      <c r="E22" s="12" t="s">
        <v>122</v>
      </c>
      <c r="F22" s="12"/>
      <c r="G22" s="12" t="s">
        <v>17</v>
      </c>
      <c r="H22" s="12" t="s">
        <v>45</v>
      </c>
      <c r="I22" s="12"/>
      <c r="J22" s="12"/>
      <c r="K22" s="12"/>
    </row>
    <row r="23" customFormat="false" ht="15" hidden="false" customHeight="false" outlineLevel="0" collapsed="false">
      <c r="A23" s="0" t="s">
        <v>123</v>
      </c>
      <c r="B23" s="0" t="s">
        <v>124</v>
      </c>
      <c r="C23" s="0" t="s">
        <v>117</v>
      </c>
      <c r="D23" s="0" t="s">
        <v>125</v>
      </c>
      <c r="E23" s="0" t="s">
        <v>58</v>
      </c>
      <c r="G23" s="0" t="s">
        <v>17</v>
      </c>
      <c r="H23" s="0" t="s">
        <v>54</v>
      </c>
    </row>
    <row r="24" customFormat="false" ht="15" hidden="false" customHeight="false" outlineLevel="0" collapsed="false">
      <c r="A24" s="12" t="s">
        <v>126</v>
      </c>
      <c r="B24" s="12" t="s">
        <v>127</v>
      </c>
      <c r="C24" s="12" t="s">
        <v>128</v>
      </c>
      <c r="D24" s="12" t="s">
        <v>129</v>
      </c>
      <c r="E24" s="12" t="s">
        <v>58</v>
      </c>
      <c r="F24" s="12"/>
      <c r="G24" s="12" t="s">
        <v>17</v>
      </c>
      <c r="H24" s="12" t="s">
        <v>45</v>
      </c>
      <c r="I24" s="12"/>
      <c r="J24" s="12"/>
      <c r="K24" s="12"/>
    </row>
    <row r="25" customFormat="false" ht="15" hidden="false" customHeight="false" outlineLevel="0" collapsed="false">
      <c r="A25" s="0" t="s">
        <v>130</v>
      </c>
      <c r="B25" s="0" t="s">
        <v>131</v>
      </c>
      <c r="C25" s="0" t="s">
        <v>128</v>
      </c>
      <c r="D25" s="0" t="s">
        <v>132</v>
      </c>
      <c r="E25" s="0" t="s">
        <v>133</v>
      </c>
      <c r="G25" s="0" t="s">
        <v>17</v>
      </c>
      <c r="H25" s="0" t="s">
        <v>45</v>
      </c>
    </row>
    <row r="26" customFormat="false" ht="15" hidden="false" customHeight="false" outlineLevel="0" collapsed="false">
      <c r="A26" s="12" t="s">
        <v>134</v>
      </c>
      <c r="B26" s="12" t="s">
        <v>135</v>
      </c>
      <c r="C26" s="12" t="s">
        <v>136</v>
      </c>
      <c r="D26" s="12" t="s">
        <v>137</v>
      </c>
      <c r="E26" s="12" t="s">
        <v>138</v>
      </c>
      <c r="F26" s="12"/>
      <c r="G26" s="12" t="s">
        <v>17</v>
      </c>
      <c r="H26" s="12" t="s">
        <v>54</v>
      </c>
      <c r="I26" s="12"/>
      <c r="J26" s="12"/>
      <c r="K26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25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10" min="9" style="0" width="12"/>
    <col collapsed="false" customWidth="true" hidden="false" outlineLevel="0" max="11" min="11" style="0" width="30"/>
  </cols>
  <sheetData>
    <row r="1" customFormat="false" ht="15" hidden="false" customHeight="false" outlineLevel="0" collapsed="false">
      <c r="A1" s="11" t="s">
        <v>31</v>
      </c>
      <c r="B1" s="11" t="s">
        <v>32</v>
      </c>
      <c r="C1" s="11" t="s">
        <v>12</v>
      </c>
      <c r="D1" s="11" t="s">
        <v>33</v>
      </c>
      <c r="E1" s="11" t="s">
        <v>34</v>
      </c>
      <c r="F1" s="11" t="s">
        <v>35</v>
      </c>
      <c r="G1" s="11" t="s">
        <v>19</v>
      </c>
      <c r="H1" s="11" t="s">
        <v>36</v>
      </c>
      <c r="I1" s="11" t="s">
        <v>37</v>
      </c>
      <c r="J1" s="11" t="s">
        <v>38</v>
      </c>
      <c r="K1" s="11" t="s">
        <v>39</v>
      </c>
    </row>
    <row r="2" customFormat="false" ht="15" hidden="false" customHeight="false" outlineLevel="0" collapsed="false">
      <c r="A2" s="12" t="s">
        <v>139</v>
      </c>
      <c r="B2" s="12" t="s">
        <v>140</v>
      </c>
      <c r="C2" s="12" t="s">
        <v>141</v>
      </c>
      <c r="D2" s="12" t="s">
        <v>142</v>
      </c>
      <c r="E2" s="12" t="s">
        <v>143</v>
      </c>
      <c r="F2" s="12"/>
      <c r="G2" s="12" t="s">
        <v>17</v>
      </c>
      <c r="H2" s="12" t="s">
        <v>45</v>
      </c>
      <c r="I2" s="12"/>
      <c r="J2" s="12"/>
      <c r="K2" s="12" t="s">
        <v>144</v>
      </c>
    </row>
    <row r="3" customFormat="false" ht="15" hidden="false" customHeight="false" outlineLevel="0" collapsed="false">
      <c r="A3" s="0" t="s">
        <v>145</v>
      </c>
      <c r="B3" s="0" t="s">
        <v>146</v>
      </c>
      <c r="C3" s="0" t="s">
        <v>141</v>
      </c>
      <c r="D3" s="0" t="s">
        <v>147</v>
      </c>
      <c r="E3" s="0" t="s">
        <v>148</v>
      </c>
      <c r="G3" s="0" t="s">
        <v>17</v>
      </c>
      <c r="H3" s="0" t="s">
        <v>45</v>
      </c>
      <c r="K3" s="0" t="s">
        <v>149</v>
      </c>
    </row>
    <row r="4" customFormat="false" ht="15" hidden="false" customHeight="false" outlineLevel="0" collapsed="false">
      <c r="A4" s="12" t="s">
        <v>150</v>
      </c>
      <c r="B4" s="12" t="s">
        <v>151</v>
      </c>
      <c r="C4" s="12" t="s">
        <v>152</v>
      </c>
      <c r="D4" s="12" t="s">
        <v>153</v>
      </c>
      <c r="E4" s="12" t="s">
        <v>44</v>
      </c>
      <c r="F4" s="12"/>
      <c r="G4" s="12" t="s">
        <v>17</v>
      </c>
      <c r="H4" s="12" t="s">
        <v>45</v>
      </c>
      <c r="I4" s="12"/>
      <c r="J4" s="12"/>
      <c r="K4" s="12"/>
    </row>
    <row r="5" customFormat="false" ht="15" hidden="false" customHeight="false" outlineLevel="0" collapsed="false">
      <c r="A5" s="0" t="s">
        <v>154</v>
      </c>
      <c r="B5" s="0" t="s">
        <v>155</v>
      </c>
      <c r="C5" s="0" t="s">
        <v>152</v>
      </c>
      <c r="D5" s="0" t="s">
        <v>156</v>
      </c>
      <c r="E5" s="0" t="s">
        <v>157</v>
      </c>
      <c r="G5" s="0" t="s">
        <v>17</v>
      </c>
      <c r="H5" s="0" t="s">
        <v>54</v>
      </c>
      <c r="K5" s="0" t="s">
        <v>158</v>
      </c>
    </row>
    <row r="6" customFormat="false" ht="15" hidden="false" customHeight="false" outlineLevel="0" collapsed="false">
      <c r="A6" s="12" t="s">
        <v>159</v>
      </c>
      <c r="B6" s="12" t="s">
        <v>160</v>
      </c>
      <c r="C6" s="12" t="s">
        <v>161</v>
      </c>
      <c r="D6" s="12" t="s">
        <v>162</v>
      </c>
      <c r="E6" s="12" t="s">
        <v>102</v>
      </c>
      <c r="F6" s="12"/>
      <c r="G6" s="12" t="s">
        <v>17</v>
      </c>
      <c r="H6" s="12" t="s">
        <v>45</v>
      </c>
      <c r="I6" s="12"/>
      <c r="J6" s="12"/>
      <c r="K6" s="12"/>
    </row>
    <row r="7" customFormat="false" ht="15" hidden="false" customHeight="false" outlineLevel="0" collapsed="false">
      <c r="A7" s="0" t="s">
        <v>163</v>
      </c>
      <c r="B7" s="0" t="s">
        <v>164</v>
      </c>
      <c r="C7" s="0" t="s">
        <v>117</v>
      </c>
      <c r="D7" s="0" t="s">
        <v>165</v>
      </c>
      <c r="E7" s="0" t="s">
        <v>166</v>
      </c>
      <c r="G7" s="0" t="s">
        <v>17</v>
      </c>
      <c r="H7" s="0" t="s">
        <v>45</v>
      </c>
    </row>
    <row r="8" customFormat="false" ht="15" hidden="false" customHeight="false" outlineLevel="0" collapsed="false">
      <c r="A8" s="12" t="s">
        <v>167</v>
      </c>
      <c r="B8" s="12" t="s">
        <v>168</v>
      </c>
      <c r="C8" s="12" t="s">
        <v>117</v>
      </c>
      <c r="D8" s="12" t="s">
        <v>169</v>
      </c>
      <c r="E8" s="12" t="s">
        <v>170</v>
      </c>
      <c r="F8" s="12"/>
      <c r="G8" s="12" t="s">
        <v>17</v>
      </c>
      <c r="H8" s="12" t="s">
        <v>45</v>
      </c>
      <c r="I8" s="12"/>
      <c r="J8" s="12"/>
      <c r="K8" s="12"/>
    </row>
    <row r="9" customFormat="false" ht="15" hidden="false" customHeight="false" outlineLevel="0" collapsed="false">
      <c r="A9" s="0" t="s">
        <v>171</v>
      </c>
      <c r="B9" s="0" t="s">
        <v>172</v>
      </c>
      <c r="C9" s="0" t="s">
        <v>117</v>
      </c>
      <c r="D9" s="0" t="s">
        <v>173</v>
      </c>
      <c r="E9" s="0" t="s">
        <v>174</v>
      </c>
      <c r="G9" s="0" t="s">
        <v>17</v>
      </c>
      <c r="H9" s="0" t="s">
        <v>54</v>
      </c>
    </row>
    <row r="10" customFormat="false" ht="15" hidden="false" customHeight="false" outlineLevel="0" collapsed="false">
      <c r="A10" s="12" t="s">
        <v>175</v>
      </c>
      <c r="B10" s="12" t="s">
        <v>176</v>
      </c>
      <c r="C10" s="12" t="s">
        <v>117</v>
      </c>
      <c r="D10" s="12" t="s">
        <v>177</v>
      </c>
      <c r="E10" s="12" t="s">
        <v>178</v>
      </c>
      <c r="F10" s="12"/>
      <c r="G10" s="12" t="s">
        <v>17</v>
      </c>
      <c r="H10" s="12" t="s">
        <v>45</v>
      </c>
      <c r="I10" s="12"/>
      <c r="J10" s="12"/>
      <c r="K10" s="12" t="s">
        <v>179</v>
      </c>
    </row>
    <row r="11" customFormat="false" ht="15" hidden="false" customHeight="false" outlineLevel="0" collapsed="false">
      <c r="A11" s="0" t="s">
        <v>180</v>
      </c>
      <c r="B11" s="0" t="s">
        <v>181</v>
      </c>
      <c r="C11" s="0" t="s">
        <v>128</v>
      </c>
      <c r="D11" s="0" t="s">
        <v>182</v>
      </c>
      <c r="E11" s="0" t="s">
        <v>183</v>
      </c>
      <c r="G11" s="0" t="s">
        <v>17</v>
      </c>
      <c r="H11" s="0" t="s">
        <v>45</v>
      </c>
    </row>
    <row r="12" customFormat="false" ht="15" hidden="false" customHeight="false" outlineLevel="0" collapsed="false">
      <c r="A12" s="12" t="s">
        <v>184</v>
      </c>
      <c r="B12" s="12" t="s">
        <v>185</v>
      </c>
      <c r="C12" s="12" t="s">
        <v>128</v>
      </c>
      <c r="D12" s="12" t="s">
        <v>186</v>
      </c>
      <c r="E12" s="12" t="s">
        <v>183</v>
      </c>
      <c r="F12" s="12"/>
      <c r="G12" s="12" t="s">
        <v>17</v>
      </c>
      <c r="H12" s="12" t="s">
        <v>54</v>
      </c>
      <c r="I12" s="12"/>
      <c r="J12" s="12"/>
      <c r="K12" s="12"/>
    </row>
    <row r="13" customFormat="false" ht="15" hidden="false" customHeight="false" outlineLevel="0" collapsed="false">
      <c r="A13" s="0" t="s">
        <v>187</v>
      </c>
      <c r="B13" s="0" t="s">
        <v>188</v>
      </c>
      <c r="C13" s="0" t="s">
        <v>136</v>
      </c>
      <c r="D13" s="0" t="s">
        <v>189</v>
      </c>
      <c r="E13" s="0" t="s">
        <v>44</v>
      </c>
      <c r="G13" s="0" t="s">
        <v>17</v>
      </c>
      <c r="H13" s="0" t="s">
        <v>45</v>
      </c>
    </row>
    <row r="14" customFormat="false" ht="15" hidden="false" customHeight="false" outlineLevel="0" collapsed="false">
      <c r="A14" s="12" t="s">
        <v>190</v>
      </c>
      <c r="B14" s="12" t="s">
        <v>191</v>
      </c>
      <c r="C14" s="12" t="s">
        <v>136</v>
      </c>
      <c r="D14" s="12" t="s">
        <v>192</v>
      </c>
      <c r="E14" s="12" t="s">
        <v>193</v>
      </c>
      <c r="F14" s="12"/>
      <c r="G14" s="12" t="s">
        <v>17</v>
      </c>
      <c r="H14" s="12" t="s">
        <v>54</v>
      </c>
      <c r="I14" s="12"/>
      <c r="J14" s="12"/>
      <c r="K14" s="12"/>
    </row>
    <row r="15" customFormat="false" ht="15" hidden="false" customHeight="false" outlineLevel="0" collapsed="false">
      <c r="A15" s="0" t="s">
        <v>194</v>
      </c>
      <c r="B15" s="0" t="s">
        <v>195</v>
      </c>
      <c r="C15" s="0" t="s">
        <v>196</v>
      </c>
      <c r="D15" s="0" t="s">
        <v>197</v>
      </c>
      <c r="E15" s="0" t="s">
        <v>198</v>
      </c>
      <c r="G15" s="0" t="s">
        <v>17</v>
      </c>
      <c r="H15" s="0" t="s">
        <v>45</v>
      </c>
      <c r="K15" s="0" t="s">
        <v>199</v>
      </c>
    </row>
    <row r="16" customFormat="false" ht="15" hidden="false" customHeight="false" outlineLevel="0" collapsed="false">
      <c r="A16" s="12" t="s">
        <v>200</v>
      </c>
      <c r="B16" s="12" t="s">
        <v>201</v>
      </c>
      <c r="C16" s="12" t="s">
        <v>202</v>
      </c>
      <c r="D16" s="12" t="s">
        <v>203</v>
      </c>
      <c r="E16" s="12" t="s">
        <v>204</v>
      </c>
      <c r="F16" s="12"/>
      <c r="G16" s="12" t="s">
        <v>17</v>
      </c>
      <c r="H16" s="12" t="s">
        <v>45</v>
      </c>
      <c r="I16" s="12"/>
      <c r="J16" s="12"/>
      <c r="K16" s="12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4" min="4" style="0" width="45"/>
    <col collapsed="false" customWidth="true" hidden="false" outlineLevel="0" max="5" min="5" style="0" width="30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10" min="9" style="0" width="12"/>
    <col collapsed="false" customWidth="true" hidden="false" outlineLevel="0" max="11" min="11" style="0" width="30"/>
  </cols>
  <sheetData>
    <row r="1" customFormat="false" ht="15" hidden="false" customHeight="false" outlineLevel="0" collapsed="false">
      <c r="A1" s="11" t="s">
        <v>31</v>
      </c>
      <c r="B1" s="11" t="s">
        <v>32</v>
      </c>
      <c r="C1" s="11" t="s">
        <v>12</v>
      </c>
      <c r="D1" s="11" t="s">
        <v>33</v>
      </c>
      <c r="E1" s="11" t="s">
        <v>34</v>
      </c>
      <c r="F1" s="11" t="s">
        <v>35</v>
      </c>
      <c r="G1" s="11" t="s">
        <v>19</v>
      </c>
      <c r="H1" s="11" t="s">
        <v>36</v>
      </c>
      <c r="I1" s="11" t="s">
        <v>37</v>
      </c>
      <c r="J1" s="11" t="s">
        <v>38</v>
      </c>
      <c r="K1" s="11" t="s">
        <v>39</v>
      </c>
    </row>
    <row r="2" customFormat="false" ht="15" hidden="false" customHeight="false" outlineLevel="0" collapsed="false">
      <c r="A2" s="12" t="s">
        <v>206</v>
      </c>
      <c r="B2" s="12" t="s">
        <v>207</v>
      </c>
      <c r="C2" s="12" t="s">
        <v>208</v>
      </c>
      <c r="D2" s="12" t="s">
        <v>209</v>
      </c>
      <c r="E2" s="12" t="s">
        <v>210</v>
      </c>
      <c r="F2" s="12"/>
      <c r="G2" s="12" t="s">
        <v>17</v>
      </c>
      <c r="H2" s="12" t="s">
        <v>45</v>
      </c>
      <c r="I2" s="12"/>
      <c r="J2" s="12"/>
      <c r="K2" s="12" t="s">
        <v>211</v>
      </c>
    </row>
    <row r="3" customFormat="false" ht="15" hidden="false" customHeight="false" outlineLevel="0" collapsed="false">
      <c r="A3" s="0" t="s">
        <v>212</v>
      </c>
      <c r="B3" s="0" t="s">
        <v>213</v>
      </c>
      <c r="C3" s="0" t="s">
        <v>208</v>
      </c>
      <c r="D3" s="0" t="s">
        <v>214</v>
      </c>
      <c r="E3" s="0" t="s">
        <v>215</v>
      </c>
      <c r="G3" s="0" t="s">
        <v>17</v>
      </c>
      <c r="H3" s="0" t="s">
        <v>45</v>
      </c>
      <c r="K3" s="0" t="s">
        <v>216</v>
      </c>
    </row>
    <row r="4" customFormat="false" ht="15" hidden="false" customHeight="false" outlineLevel="0" collapsed="false">
      <c r="A4" s="12" t="s">
        <v>217</v>
      </c>
      <c r="B4" s="12" t="s">
        <v>218</v>
      </c>
      <c r="C4" s="12" t="s">
        <v>208</v>
      </c>
      <c r="D4" s="12" t="s">
        <v>219</v>
      </c>
      <c r="E4" s="12" t="s">
        <v>220</v>
      </c>
      <c r="F4" s="12"/>
      <c r="G4" s="12" t="s">
        <v>17</v>
      </c>
      <c r="H4" s="12" t="s">
        <v>45</v>
      </c>
      <c r="I4" s="12"/>
      <c r="J4" s="12"/>
      <c r="K4" s="12" t="s">
        <v>221</v>
      </c>
    </row>
    <row r="5" customFormat="false" ht="15" hidden="false" customHeight="false" outlineLevel="0" collapsed="false">
      <c r="A5" s="0" t="s">
        <v>222</v>
      </c>
      <c r="B5" s="0" t="s">
        <v>223</v>
      </c>
      <c r="C5" s="0" t="s">
        <v>208</v>
      </c>
      <c r="D5" s="0" t="s">
        <v>224</v>
      </c>
      <c r="E5" s="0" t="s">
        <v>225</v>
      </c>
      <c r="G5" s="0" t="s">
        <v>17</v>
      </c>
      <c r="H5" s="0" t="s">
        <v>45</v>
      </c>
      <c r="K5" s="0" t="s">
        <v>226</v>
      </c>
    </row>
    <row r="6" customFormat="false" ht="15" hidden="false" customHeight="false" outlineLevel="0" collapsed="false">
      <c r="A6" s="12" t="s">
        <v>227</v>
      </c>
      <c r="B6" s="12" t="s">
        <v>228</v>
      </c>
      <c r="C6" s="12" t="s">
        <v>208</v>
      </c>
      <c r="D6" s="12" t="s">
        <v>229</v>
      </c>
      <c r="E6" s="12" t="s">
        <v>230</v>
      </c>
      <c r="F6" s="12"/>
      <c r="G6" s="12" t="s">
        <v>17</v>
      </c>
      <c r="H6" s="12" t="s">
        <v>54</v>
      </c>
      <c r="I6" s="12"/>
      <c r="J6" s="12"/>
      <c r="K6" s="12" t="s">
        <v>231</v>
      </c>
    </row>
    <row r="7" customFormat="false" ht="15" hidden="false" customHeight="false" outlineLevel="0" collapsed="false">
      <c r="A7" s="0" t="s">
        <v>232</v>
      </c>
      <c r="B7" s="0" t="s">
        <v>233</v>
      </c>
      <c r="C7" s="0" t="s">
        <v>208</v>
      </c>
      <c r="D7" s="0" t="s">
        <v>234</v>
      </c>
      <c r="E7" s="0" t="s">
        <v>235</v>
      </c>
      <c r="G7" s="0" t="s">
        <v>17</v>
      </c>
      <c r="H7" s="0" t="s">
        <v>54</v>
      </c>
    </row>
    <row r="8" customFormat="false" ht="15" hidden="false" customHeight="false" outlineLevel="0" collapsed="false">
      <c r="A8" s="12" t="s">
        <v>236</v>
      </c>
      <c r="B8" s="12" t="s">
        <v>237</v>
      </c>
      <c r="C8" s="12" t="s">
        <v>208</v>
      </c>
      <c r="D8" s="12" t="s">
        <v>238</v>
      </c>
      <c r="E8" s="12" t="s">
        <v>239</v>
      </c>
      <c r="F8" s="12"/>
      <c r="G8" s="12" t="s">
        <v>17</v>
      </c>
      <c r="H8" s="12" t="s">
        <v>54</v>
      </c>
      <c r="I8" s="12"/>
      <c r="J8" s="12"/>
      <c r="K8" s="12"/>
    </row>
    <row r="9" customFormat="false" ht="15" hidden="false" customHeight="false" outlineLevel="0" collapsed="false">
      <c r="A9" s="0" t="s">
        <v>240</v>
      </c>
      <c r="B9" s="0" t="s">
        <v>241</v>
      </c>
      <c r="C9" s="0" t="s">
        <v>242</v>
      </c>
      <c r="D9" s="0" t="s">
        <v>243</v>
      </c>
      <c r="E9" s="0" t="s">
        <v>244</v>
      </c>
      <c r="G9" s="0" t="s">
        <v>17</v>
      </c>
      <c r="H9" s="0" t="s">
        <v>45</v>
      </c>
      <c r="K9" s="0" t="s">
        <v>245</v>
      </c>
    </row>
    <row r="10" customFormat="false" ht="15" hidden="false" customHeight="false" outlineLevel="0" collapsed="false">
      <c r="A10" s="12" t="s">
        <v>246</v>
      </c>
      <c r="B10" s="12" t="s">
        <v>247</v>
      </c>
      <c r="C10" s="12" t="s">
        <v>248</v>
      </c>
      <c r="D10" s="12" t="s">
        <v>249</v>
      </c>
      <c r="E10" s="12" t="s">
        <v>210</v>
      </c>
      <c r="F10" s="12"/>
      <c r="G10" s="12" t="s">
        <v>17</v>
      </c>
      <c r="H10" s="12" t="s">
        <v>54</v>
      </c>
      <c r="I10" s="12"/>
      <c r="J10" s="12"/>
      <c r="K10" s="12"/>
    </row>
    <row r="11" customFormat="false" ht="15" hidden="false" customHeight="false" outlineLevel="0" collapsed="false">
      <c r="A11" s="0" t="s">
        <v>250</v>
      </c>
      <c r="B11" s="0" t="s">
        <v>251</v>
      </c>
      <c r="C11" s="0" t="s">
        <v>248</v>
      </c>
      <c r="D11" s="0" t="s">
        <v>252</v>
      </c>
      <c r="E11" s="0" t="s">
        <v>253</v>
      </c>
      <c r="G11" s="0" t="s">
        <v>17</v>
      </c>
      <c r="H11" s="0" t="s">
        <v>54</v>
      </c>
    </row>
    <row r="12" customFormat="false" ht="15" hidden="false" customHeight="false" outlineLevel="0" collapsed="false">
      <c r="A12" s="12" t="s">
        <v>254</v>
      </c>
      <c r="B12" s="12" t="s">
        <v>255</v>
      </c>
      <c r="C12" s="12" t="s">
        <v>256</v>
      </c>
      <c r="D12" s="12" t="s">
        <v>257</v>
      </c>
      <c r="E12" s="12" t="s">
        <v>258</v>
      </c>
      <c r="F12" s="12"/>
      <c r="G12" s="12" t="s">
        <v>17</v>
      </c>
      <c r="H12" s="12" t="s">
        <v>45</v>
      </c>
      <c r="I12" s="12"/>
      <c r="J12" s="12"/>
      <c r="K12" s="12" t="s">
        <v>259</v>
      </c>
    </row>
    <row r="13" customFormat="false" ht="15" hidden="false" customHeight="false" outlineLevel="0" collapsed="false">
      <c r="A13" s="0" t="s">
        <v>260</v>
      </c>
      <c r="B13" s="0" t="s">
        <v>261</v>
      </c>
      <c r="C13" s="0" t="s">
        <v>178</v>
      </c>
      <c r="D13" s="0" t="s">
        <v>262</v>
      </c>
      <c r="E13" s="0" t="s">
        <v>263</v>
      </c>
      <c r="G13" s="0" t="s">
        <v>17</v>
      </c>
      <c r="H13" s="0" t="s">
        <v>45</v>
      </c>
    </row>
    <row r="14" customFormat="false" ht="15" hidden="false" customHeight="false" outlineLevel="0" collapsed="false">
      <c r="A14" s="12" t="s">
        <v>264</v>
      </c>
      <c r="B14" s="12" t="s">
        <v>265</v>
      </c>
      <c r="C14" s="12" t="s">
        <v>266</v>
      </c>
      <c r="D14" s="12" t="s">
        <v>267</v>
      </c>
      <c r="E14" s="12" t="s">
        <v>268</v>
      </c>
      <c r="F14" s="12"/>
      <c r="G14" s="12" t="s">
        <v>17</v>
      </c>
      <c r="H14" s="12" t="s">
        <v>45</v>
      </c>
      <c r="I14" s="12"/>
      <c r="J14" s="12"/>
      <c r="K14" s="12" t="s">
        <v>269</v>
      </c>
    </row>
    <row r="15" customFormat="false" ht="15" hidden="false" customHeight="false" outlineLevel="0" collapsed="false">
      <c r="A15" s="0" t="s">
        <v>270</v>
      </c>
      <c r="B15" s="0" t="s">
        <v>271</v>
      </c>
      <c r="C15" s="0" t="s">
        <v>272</v>
      </c>
      <c r="D15" s="0" t="s">
        <v>273</v>
      </c>
      <c r="E15" s="0" t="s">
        <v>274</v>
      </c>
      <c r="G15" s="0" t="s">
        <v>17</v>
      </c>
      <c r="H15" s="0" t="s">
        <v>45</v>
      </c>
      <c r="K15" s="0" t="s">
        <v>275</v>
      </c>
    </row>
    <row r="16" customFormat="false" ht="15" hidden="false" customHeight="false" outlineLevel="0" collapsed="false">
      <c r="A16" s="12" t="s">
        <v>276</v>
      </c>
      <c r="B16" s="12" t="s">
        <v>277</v>
      </c>
      <c r="C16" s="12" t="s">
        <v>278</v>
      </c>
      <c r="D16" s="12" t="s">
        <v>279</v>
      </c>
      <c r="E16" s="12" t="s">
        <v>280</v>
      </c>
      <c r="F16" s="12"/>
      <c r="G16" s="12" t="s">
        <v>17</v>
      </c>
      <c r="H16" s="12" t="s">
        <v>45</v>
      </c>
      <c r="I16" s="12"/>
      <c r="J16" s="12"/>
      <c r="K16" s="12" t="s">
        <v>281</v>
      </c>
    </row>
    <row r="17" customFormat="false" ht="15" hidden="false" customHeight="false" outlineLevel="0" collapsed="false">
      <c r="A17" s="0" t="s">
        <v>282</v>
      </c>
      <c r="B17" s="0" t="s">
        <v>283</v>
      </c>
      <c r="C17" s="0" t="s">
        <v>284</v>
      </c>
      <c r="D17" s="0" t="s">
        <v>285</v>
      </c>
      <c r="E17" s="0" t="s">
        <v>286</v>
      </c>
      <c r="G17" s="0" t="s">
        <v>17</v>
      </c>
      <c r="H17" s="0" t="s">
        <v>54</v>
      </c>
      <c r="K17" s="0" t="s">
        <v>287</v>
      </c>
    </row>
    <row r="18" customFormat="false" ht="15" hidden="false" customHeight="false" outlineLevel="0" collapsed="false">
      <c r="A18" s="12" t="s">
        <v>288</v>
      </c>
      <c r="B18" s="12" t="s">
        <v>289</v>
      </c>
      <c r="C18" s="12" t="s">
        <v>290</v>
      </c>
      <c r="D18" s="12" t="s">
        <v>291</v>
      </c>
      <c r="E18" s="12" t="s">
        <v>292</v>
      </c>
      <c r="F18" s="12"/>
      <c r="G18" s="12" t="s">
        <v>17</v>
      </c>
      <c r="H18" s="12" t="s">
        <v>45</v>
      </c>
      <c r="I18" s="12"/>
      <c r="J18" s="12"/>
      <c r="K18" s="12" t="s">
        <v>293</v>
      </c>
    </row>
    <row r="19" customFormat="false" ht="15" hidden="false" customHeight="false" outlineLevel="0" collapsed="false">
      <c r="A19" s="0" t="s">
        <v>294</v>
      </c>
      <c r="B19" s="0" t="s">
        <v>295</v>
      </c>
      <c r="C19" s="0" t="s">
        <v>290</v>
      </c>
      <c r="D19" s="0" t="s">
        <v>296</v>
      </c>
      <c r="E19" s="0" t="s">
        <v>297</v>
      </c>
      <c r="G19" s="0" t="s">
        <v>17</v>
      </c>
      <c r="H19" s="0" t="s">
        <v>45</v>
      </c>
    </row>
    <row r="20" customFormat="false" ht="15" hidden="false" customHeight="false" outlineLevel="0" collapsed="false">
      <c r="A20" s="12" t="s">
        <v>298</v>
      </c>
      <c r="B20" s="12" t="s">
        <v>299</v>
      </c>
      <c r="C20" s="12" t="s">
        <v>300</v>
      </c>
      <c r="D20" s="12" t="s">
        <v>301</v>
      </c>
      <c r="E20" s="12" t="s">
        <v>302</v>
      </c>
      <c r="F20" s="12"/>
      <c r="G20" s="12" t="s">
        <v>17</v>
      </c>
      <c r="H20" s="12" t="s">
        <v>45</v>
      </c>
      <c r="I20" s="12"/>
      <c r="J20" s="12"/>
      <c r="K20" s="12" t="s">
        <v>303</v>
      </c>
    </row>
    <row r="21" customFormat="false" ht="15" hidden="false" customHeight="false" outlineLevel="0" collapsed="false">
      <c r="A21" s="0" t="s">
        <v>304</v>
      </c>
      <c r="B21" s="0" t="s">
        <v>305</v>
      </c>
      <c r="C21" s="0" t="s">
        <v>29</v>
      </c>
      <c r="D21" s="0" t="s">
        <v>306</v>
      </c>
      <c r="E21" s="0" t="s">
        <v>307</v>
      </c>
      <c r="G21" s="0" t="s">
        <v>17</v>
      </c>
      <c r="H21" s="0" t="s">
        <v>45</v>
      </c>
      <c r="K21" s="0" t="s">
        <v>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10" min="9" style="0" width="12"/>
    <col collapsed="false" customWidth="true" hidden="false" outlineLevel="0" max="11" min="11" style="0" width="30"/>
  </cols>
  <sheetData>
    <row r="1" customFormat="false" ht="15" hidden="false" customHeight="false" outlineLevel="0" collapsed="false">
      <c r="A1" s="11" t="s">
        <v>31</v>
      </c>
      <c r="B1" s="11" t="s">
        <v>32</v>
      </c>
      <c r="C1" s="11" t="s">
        <v>12</v>
      </c>
      <c r="D1" s="11" t="s">
        <v>33</v>
      </c>
      <c r="E1" s="11" t="s">
        <v>34</v>
      </c>
      <c r="F1" s="11" t="s">
        <v>35</v>
      </c>
      <c r="G1" s="11" t="s">
        <v>19</v>
      </c>
      <c r="H1" s="11" t="s">
        <v>36</v>
      </c>
      <c r="I1" s="11" t="s">
        <v>37</v>
      </c>
      <c r="J1" s="11" t="s">
        <v>38</v>
      </c>
      <c r="K1" s="11" t="s">
        <v>39</v>
      </c>
    </row>
    <row r="2" customFormat="false" ht="15" hidden="false" customHeight="false" outlineLevel="0" collapsed="false">
      <c r="A2" s="12" t="s">
        <v>309</v>
      </c>
      <c r="B2" s="12" t="s">
        <v>310</v>
      </c>
      <c r="C2" s="12" t="s">
        <v>311</v>
      </c>
      <c r="D2" s="12" t="s">
        <v>312</v>
      </c>
      <c r="E2" s="12" t="s">
        <v>44</v>
      </c>
      <c r="F2" s="12"/>
      <c r="G2" s="12" t="s">
        <v>17</v>
      </c>
      <c r="H2" s="12" t="s">
        <v>45</v>
      </c>
      <c r="I2" s="12"/>
      <c r="J2" s="12"/>
      <c r="K2" s="12"/>
    </row>
    <row r="3" customFormat="false" ht="15" hidden="false" customHeight="false" outlineLevel="0" collapsed="false">
      <c r="A3" s="0" t="s">
        <v>313</v>
      </c>
      <c r="B3" s="0" t="s">
        <v>314</v>
      </c>
      <c r="C3" s="0" t="s">
        <v>208</v>
      </c>
      <c r="D3" s="0" t="s">
        <v>315</v>
      </c>
      <c r="E3" s="0" t="s">
        <v>210</v>
      </c>
      <c r="G3" s="0" t="s">
        <v>17</v>
      </c>
      <c r="H3" s="0" t="s">
        <v>45</v>
      </c>
      <c r="K3" s="0" t="s">
        <v>316</v>
      </c>
    </row>
    <row r="4" customFormat="false" ht="15" hidden="false" customHeight="false" outlineLevel="0" collapsed="false">
      <c r="A4" s="12" t="s">
        <v>317</v>
      </c>
      <c r="B4" s="12" t="s">
        <v>318</v>
      </c>
      <c r="C4" s="12" t="s">
        <v>319</v>
      </c>
      <c r="D4" s="12" t="s">
        <v>320</v>
      </c>
      <c r="E4" s="12" t="s">
        <v>321</v>
      </c>
      <c r="F4" s="12"/>
      <c r="G4" s="12" t="s">
        <v>17</v>
      </c>
      <c r="H4" s="12" t="s">
        <v>45</v>
      </c>
      <c r="I4" s="12"/>
      <c r="J4" s="12"/>
      <c r="K4" s="12"/>
    </row>
    <row r="5" customFormat="false" ht="15" hidden="false" customHeight="false" outlineLevel="0" collapsed="false">
      <c r="A5" s="0" t="s">
        <v>322</v>
      </c>
      <c r="B5" s="0" t="s">
        <v>323</v>
      </c>
      <c r="C5" s="0" t="s">
        <v>311</v>
      </c>
      <c r="D5" s="0" t="s">
        <v>324</v>
      </c>
      <c r="E5" s="0" t="s">
        <v>325</v>
      </c>
      <c r="G5" s="0" t="s">
        <v>17</v>
      </c>
      <c r="H5" s="0" t="s">
        <v>45</v>
      </c>
    </row>
    <row r="6" customFormat="false" ht="15" hidden="false" customHeight="false" outlineLevel="0" collapsed="false">
      <c r="A6" s="12" t="s">
        <v>326</v>
      </c>
      <c r="B6" s="12" t="s">
        <v>327</v>
      </c>
      <c r="C6" s="12" t="s">
        <v>311</v>
      </c>
      <c r="D6" s="12" t="s">
        <v>328</v>
      </c>
      <c r="E6" s="12" t="s">
        <v>329</v>
      </c>
      <c r="F6" s="12"/>
      <c r="G6" s="12" t="s">
        <v>17</v>
      </c>
      <c r="H6" s="12" t="s">
        <v>45</v>
      </c>
      <c r="I6" s="12"/>
      <c r="J6" s="12"/>
      <c r="K6" s="12"/>
    </row>
    <row r="7" customFormat="false" ht="15" hidden="false" customHeight="false" outlineLevel="0" collapsed="false">
      <c r="A7" s="0" t="s">
        <v>330</v>
      </c>
      <c r="B7" s="0" t="s">
        <v>331</v>
      </c>
      <c r="C7" s="0" t="s">
        <v>256</v>
      </c>
      <c r="D7" s="0" t="s">
        <v>332</v>
      </c>
      <c r="E7" s="0" t="s">
        <v>333</v>
      </c>
      <c r="G7" s="0" t="s">
        <v>17</v>
      </c>
      <c r="H7" s="0" t="s">
        <v>45</v>
      </c>
      <c r="K7" s="0" t="s">
        <v>334</v>
      </c>
    </row>
    <row r="8" customFormat="false" ht="15" hidden="false" customHeight="false" outlineLevel="0" collapsed="false">
      <c r="A8" s="12" t="s">
        <v>335</v>
      </c>
      <c r="B8" s="12" t="s">
        <v>336</v>
      </c>
      <c r="C8" s="12" t="s">
        <v>337</v>
      </c>
      <c r="D8" s="12" t="s">
        <v>338</v>
      </c>
      <c r="E8" s="12" t="s">
        <v>339</v>
      </c>
      <c r="F8" s="12"/>
      <c r="G8" s="12" t="s">
        <v>17</v>
      </c>
      <c r="H8" s="12" t="s">
        <v>54</v>
      </c>
      <c r="I8" s="12"/>
      <c r="J8" s="12"/>
      <c r="K8" s="12" t="s">
        <v>293</v>
      </c>
    </row>
    <row r="9" customFormat="false" ht="15" hidden="false" customHeight="false" outlineLevel="0" collapsed="false">
      <c r="A9" s="0" t="s">
        <v>340</v>
      </c>
      <c r="B9" s="0" t="s">
        <v>341</v>
      </c>
      <c r="C9" s="0" t="s">
        <v>342</v>
      </c>
      <c r="D9" s="0" t="s">
        <v>343</v>
      </c>
      <c r="E9" s="0" t="s">
        <v>344</v>
      </c>
      <c r="G9" s="0" t="s">
        <v>17</v>
      </c>
      <c r="H9" s="0" t="s">
        <v>45</v>
      </c>
      <c r="K9" s="0" t="s">
        <v>319</v>
      </c>
    </row>
    <row r="10" customFormat="false" ht="15" hidden="false" customHeight="false" outlineLevel="0" collapsed="false">
      <c r="A10" s="12" t="s">
        <v>345</v>
      </c>
      <c r="B10" s="12" t="s">
        <v>346</v>
      </c>
      <c r="C10" s="12" t="s">
        <v>28</v>
      </c>
      <c r="D10" s="12" t="s">
        <v>347</v>
      </c>
      <c r="E10" s="12" t="s">
        <v>348</v>
      </c>
      <c r="F10" s="12"/>
      <c r="G10" s="12" t="s">
        <v>17</v>
      </c>
      <c r="H10" s="12" t="s">
        <v>45</v>
      </c>
      <c r="I10" s="12"/>
      <c r="J10" s="12"/>
      <c r="K10" s="12"/>
    </row>
    <row r="11" customFormat="false" ht="15" hidden="false" customHeight="false" outlineLevel="0" collapsed="false">
      <c r="A11" s="0" t="s">
        <v>349</v>
      </c>
      <c r="B11" s="0" t="s">
        <v>350</v>
      </c>
      <c r="C11" s="0" t="s">
        <v>28</v>
      </c>
      <c r="D11" s="0" t="s">
        <v>351</v>
      </c>
      <c r="E11" s="0" t="s">
        <v>352</v>
      </c>
      <c r="G11" s="0" t="s">
        <v>17</v>
      </c>
      <c r="H11" s="0" t="s">
        <v>45</v>
      </c>
    </row>
    <row r="12" customFormat="false" ht="15" hidden="false" customHeight="false" outlineLevel="0" collapsed="false">
      <c r="A12" s="12" t="s">
        <v>353</v>
      </c>
      <c r="B12" s="12" t="s">
        <v>354</v>
      </c>
      <c r="C12" s="12" t="s">
        <v>256</v>
      </c>
      <c r="D12" s="12" t="s">
        <v>355</v>
      </c>
      <c r="E12" s="12" t="s">
        <v>356</v>
      </c>
      <c r="F12" s="12"/>
      <c r="G12" s="12" t="s">
        <v>17</v>
      </c>
      <c r="H12" s="12" t="s">
        <v>45</v>
      </c>
      <c r="I12" s="12"/>
      <c r="J12" s="12"/>
      <c r="K12" s="12" t="s">
        <v>357</v>
      </c>
    </row>
    <row r="13" customFormat="false" ht="15" hidden="false" customHeight="false" outlineLevel="0" collapsed="false">
      <c r="A13" s="0" t="s">
        <v>358</v>
      </c>
      <c r="B13" s="0" t="s">
        <v>359</v>
      </c>
      <c r="C13" s="0" t="s">
        <v>29</v>
      </c>
      <c r="D13" s="0" t="s">
        <v>360</v>
      </c>
      <c r="E13" s="0" t="s">
        <v>361</v>
      </c>
      <c r="G13" s="0" t="s">
        <v>17</v>
      </c>
      <c r="H13" s="0" t="s">
        <v>45</v>
      </c>
      <c r="K13" s="0" t="s">
        <v>362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5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9" min="8" style="0" width="10"/>
    <col collapsed="false" customWidth="true" hidden="false" outlineLevel="0" max="11" min="10" style="0" width="12"/>
    <col collapsed="false" customWidth="true" hidden="false" outlineLevel="0" max="12" min="12" style="0" width="30"/>
  </cols>
  <sheetData>
    <row r="1" customFormat="false" ht="15" hidden="false" customHeight="false" outlineLevel="0" collapsed="false">
      <c r="A1" s="11" t="s">
        <v>31</v>
      </c>
      <c r="B1" s="11" t="s">
        <v>32</v>
      </c>
      <c r="C1" s="11" t="s">
        <v>363</v>
      </c>
      <c r="D1" s="11" t="s">
        <v>364</v>
      </c>
      <c r="E1" s="11" t="s">
        <v>365</v>
      </c>
      <c r="F1" s="11" t="s">
        <v>19</v>
      </c>
      <c r="G1" s="11" t="s">
        <v>36</v>
      </c>
      <c r="H1" s="11" t="s">
        <v>366</v>
      </c>
      <c r="I1" s="11" t="s">
        <v>367</v>
      </c>
      <c r="J1" s="11" t="s">
        <v>37</v>
      </c>
      <c r="K1" s="11" t="s">
        <v>38</v>
      </c>
      <c r="L1" s="11" t="s">
        <v>39</v>
      </c>
    </row>
    <row r="2" customFormat="false" ht="15" hidden="false" customHeight="false" outlineLevel="0" collapsed="false">
      <c r="A2" s="12" t="s">
        <v>368</v>
      </c>
      <c r="B2" s="12" t="s">
        <v>369</v>
      </c>
      <c r="C2" s="12" t="s">
        <v>370</v>
      </c>
      <c r="D2" s="12" t="s">
        <v>371</v>
      </c>
      <c r="E2" s="12"/>
      <c r="F2" s="12" t="s">
        <v>17</v>
      </c>
      <c r="G2" s="12" t="s">
        <v>45</v>
      </c>
      <c r="H2" s="12" t="s">
        <v>372</v>
      </c>
      <c r="I2" s="12" t="s">
        <v>373</v>
      </c>
      <c r="J2" s="12"/>
      <c r="K2" s="12"/>
      <c r="L2" s="12" t="s">
        <v>374</v>
      </c>
    </row>
    <row r="3" customFormat="false" ht="15" hidden="false" customHeight="false" outlineLevel="0" collapsed="false">
      <c r="A3" s="0" t="s">
        <v>375</v>
      </c>
      <c r="B3" s="0" t="s">
        <v>376</v>
      </c>
      <c r="C3" s="0" t="s">
        <v>370</v>
      </c>
      <c r="D3" s="0" t="s">
        <v>377</v>
      </c>
      <c r="F3" s="0" t="s">
        <v>17</v>
      </c>
      <c r="G3" s="0" t="s">
        <v>45</v>
      </c>
      <c r="H3" s="0" t="s">
        <v>372</v>
      </c>
      <c r="I3" s="0" t="s">
        <v>373</v>
      </c>
      <c r="L3" s="0" t="s">
        <v>378</v>
      </c>
    </row>
    <row r="4" customFormat="false" ht="15" hidden="false" customHeight="false" outlineLevel="0" collapsed="false">
      <c r="A4" s="12" t="s">
        <v>379</v>
      </c>
      <c r="B4" s="12" t="s">
        <v>380</v>
      </c>
      <c r="C4" s="12" t="s">
        <v>370</v>
      </c>
      <c r="D4" s="12" t="s">
        <v>381</v>
      </c>
      <c r="E4" s="12"/>
      <c r="F4" s="12" t="s">
        <v>17</v>
      </c>
      <c r="G4" s="12" t="s">
        <v>45</v>
      </c>
      <c r="H4" s="12" t="s">
        <v>382</v>
      </c>
      <c r="I4" s="12" t="s">
        <v>373</v>
      </c>
      <c r="J4" s="12"/>
      <c r="K4" s="12"/>
      <c r="L4" s="12" t="s">
        <v>383</v>
      </c>
    </row>
    <row r="5" customFormat="false" ht="15" hidden="false" customHeight="false" outlineLevel="0" collapsed="false">
      <c r="A5" s="0" t="s">
        <v>384</v>
      </c>
      <c r="B5" s="0" t="s">
        <v>385</v>
      </c>
      <c r="C5" s="0" t="s">
        <v>386</v>
      </c>
      <c r="D5" s="0" t="s">
        <v>387</v>
      </c>
      <c r="F5" s="0" t="s">
        <v>17</v>
      </c>
      <c r="G5" s="0" t="s">
        <v>45</v>
      </c>
      <c r="H5" s="0" t="s">
        <v>372</v>
      </c>
      <c r="I5" s="0" t="s">
        <v>373</v>
      </c>
    </row>
    <row r="6" customFormat="false" ht="15" hidden="false" customHeight="false" outlineLevel="0" collapsed="false">
      <c r="A6" s="12" t="s">
        <v>388</v>
      </c>
      <c r="B6" s="12" t="s">
        <v>389</v>
      </c>
      <c r="C6" s="12" t="s">
        <v>386</v>
      </c>
      <c r="D6" s="12" t="s">
        <v>390</v>
      </c>
      <c r="E6" s="12"/>
      <c r="F6" s="12" t="s">
        <v>17</v>
      </c>
      <c r="G6" s="12" t="s">
        <v>45</v>
      </c>
      <c r="H6" s="12" t="s">
        <v>372</v>
      </c>
      <c r="I6" s="12" t="s">
        <v>373</v>
      </c>
      <c r="J6" s="12"/>
      <c r="K6" s="12"/>
      <c r="L6" s="12"/>
    </row>
    <row r="7" customFormat="false" ht="15" hidden="false" customHeight="false" outlineLevel="0" collapsed="false">
      <c r="A7" s="0" t="s">
        <v>391</v>
      </c>
      <c r="B7" s="0" t="s">
        <v>392</v>
      </c>
      <c r="C7" s="0" t="s">
        <v>386</v>
      </c>
      <c r="D7" s="0" t="s">
        <v>393</v>
      </c>
      <c r="F7" s="0" t="s">
        <v>17</v>
      </c>
      <c r="G7" s="0" t="s">
        <v>45</v>
      </c>
      <c r="H7" s="0" t="s">
        <v>372</v>
      </c>
      <c r="I7" s="0" t="s">
        <v>373</v>
      </c>
    </row>
    <row r="8" customFormat="false" ht="15" hidden="false" customHeight="false" outlineLevel="0" collapsed="false">
      <c r="A8" s="12" t="s">
        <v>394</v>
      </c>
      <c r="B8" s="12" t="s">
        <v>395</v>
      </c>
      <c r="C8" s="12" t="s">
        <v>396</v>
      </c>
      <c r="D8" s="12" t="s">
        <v>397</v>
      </c>
      <c r="E8" s="12"/>
      <c r="F8" s="12" t="s">
        <v>17</v>
      </c>
      <c r="G8" s="12" t="s">
        <v>45</v>
      </c>
      <c r="H8" s="12" t="s">
        <v>372</v>
      </c>
      <c r="I8" s="12" t="s">
        <v>373</v>
      </c>
      <c r="J8" s="12"/>
      <c r="K8" s="12"/>
      <c r="L8" s="12" t="s">
        <v>398</v>
      </c>
    </row>
    <row r="9" customFormat="false" ht="15" hidden="false" customHeight="false" outlineLevel="0" collapsed="false">
      <c r="A9" s="0" t="s">
        <v>399</v>
      </c>
      <c r="B9" s="0" t="s">
        <v>400</v>
      </c>
      <c r="C9" s="0" t="s">
        <v>370</v>
      </c>
      <c r="D9" s="0" t="s">
        <v>401</v>
      </c>
      <c r="F9" s="0" t="s">
        <v>17</v>
      </c>
      <c r="G9" s="0" t="s">
        <v>45</v>
      </c>
      <c r="H9" s="0" t="s">
        <v>372</v>
      </c>
      <c r="I9" s="0" t="s">
        <v>373</v>
      </c>
      <c r="L9" s="0" t="s">
        <v>402</v>
      </c>
    </row>
    <row r="10" customFormat="false" ht="15" hidden="false" customHeight="false" outlineLevel="0" collapsed="false">
      <c r="A10" s="12" t="s">
        <v>403</v>
      </c>
      <c r="B10" s="12" t="s">
        <v>404</v>
      </c>
      <c r="C10" s="12" t="s">
        <v>405</v>
      </c>
      <c r="D10" s="12" t="s">
        <v>406</v>
      </c>
      <c r="E10" s="12"/>
      <c r="F10" s="12" t="s">
        <v>17</v>
      </c>
      <c r="G10" s="12" t="s">
        <v>54</v>
      </c>
      <c r="H10" s="12" t="s">
        <v>407</v>
      </c>
      <c r="I10" s="12" t="s">
        <v>373</v>
      </c>
      <c r="J10" s="12"/>
      <c r="K10" s="12"/>
      <c r="L10" s="12" t="s">
        <v>408</v>
      </c>
    </row>
    <row r="11" customFormat="false" ht="15" hidden="false" customHeight="false" outlineLevel="0" collapsed="false">
      <c r="A11" s="0" t="s">
        <v>409</v>
      </c>
      <c r="B11" s="0" t="s">
        <v>410</v>
      </c>
      <c r="C11" s="0" t="s">
        <v>411</v>
      </c>
      <c r="D11" s="0" t="s">
        <v>412</v>
      </c>
      <c r="F11" s="0" t="s">
        <v>17</v>
      </c>
      <c r="G11" s="0" t="s">
        <v>45</v>
      </c>
      <c r="H11" s="0" t="s">
        <v>382</v>
      </c>
      <c r="I11" s="0" t="s">
        <v>413</v>
      </c>
      <c r="L11" s="0" t="s">
        <v>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4" min="4" style="0" width="25"/>
    <col collapsed="false" customWidth="true" hidden="false" outlineLevel="0" max="5" min="5" style="0" width="35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10" min="9" style="0" width="12"/>
    <col collapsed="false" customWidth="true" hidden="false" outlineLevel="0" max="11" min="11" style="0" width="30"/>
  </cols>
  <sheetData>
    <row r="1" customFormat="false" ht="15" hidden="false" customHeight="false" outlineLevel="0" collapsed="false">
      <c r="A1" s="11" t="s">
        <v>31</v>
      </c>
      <c r="B1" s="11" t="s">
        <v>32</v>
      </c>
      <c r="C1" s="11" t="s">
        <v>12</v>
      </c>
      <c r="D1" s="11" t="s">
        <v>33</v>
      </c>
      <c r="E1" s="11" t="s">
        <v>34</v>
      </c>
      <c r="F1" s="11" t="s">
        <v>35</v>
      </c>
      <c r="G1" s="11" t="s">
        <v>19</v>
      </c>
      <c r="H1" s="11" t="s">
        <v>36</v>
      </c>
      <c r="I1" s="11" t="s">
        <v>37</v>
      </c>
      <c r="J1" s="11" t="s">
        <v>38</v>
      </c>
      <c r="K1" s="11" t="s">
        <v>39</v>
      </c>
    </row>
    <row r="2" customFormat="false" ht="15" hidden="false" customHeight="false" outlineLevel="0" collapsed="false">
      <c r="A2" s="12" t="s">
        <v>415</v>
      </c>
      <c r="B2" s="12" t="s">
        <v>416</v>
      </c>
      <c r="C2" s="12" t="s">
        <v>266</v>
      </c>
      <c r="D2" s="12" t="s">
        <v>417</v>
      </c>
      <c r="E2" s="12" t="s">
        <v>418</v>
      </c>
      <c r="F2" s="12"/>
      <c r="G2" s="12" t="s">
        <v>17</v>
      </c>
      <c r="H2" s="12" t="s">
        <v>45</v>
      </c>
      <c r="I2" s="12"/>
      <c r="J2" s="12"/>
      <c r="K2" s="12" t="s">
        <v>419</v>
      </c>
    </row>
    <row r="3" customFormat="false" ht="15" hidden="false" customHeight="false" outlineLevel="0" collapsed="false">
      <c r="A3" s="0" t="s">
        <v>420</v>
      </c>
      <c r="B3" s="0" t="s">
        <v>421</v>
      </c>
      <c r="C3" s="0" t="s">
        <v>422</v>
      </c>
      <c r="D3" s="0" t="s">
        <v>423</v>
      </c>
      <c r="E3" s="0" t="s">
        <v>424</v>
      </c>
      <c r="G3" s="0" t="s">
        <v>17</v>
      </c>
      <c r="H3" s="0" t="s">
        <v>45</v>
      </c>
      <c r="K3" s="0" t="s">
        <v>425</v>
      </c>
    </row>
    <row r="4" customFormat="false" ht="15" hidden="false" customHeight="false" outlineLevel="0" collapsed="false">
      <c r="A4" s="12" t="s">
        <v>426</v>
      </c>
      <c r="B4" s="12" t="s">
        <v>427</v>
      </c>
      <c r="C4" s="12" t="s">
        <v>428</v>
      </c>
      <c r="D4" s="12" t="s">
        <v>429</v>
      </c>
      <c r="E4" s="12" t="s">
        <v>430</v>
      </c>
      <c r="F4" s="12"/>
      <c r="G4" s="12" t="s">
        <v>17</v>
      </c>
      <c r="H4" s="12" t="s">
        <v>45</v>
      </c>
      <c r="I4" s="12"/>
      <c r="J4" s="12"/>
      <c r="K4" s="12"/>
    </row>
    <row r="5" customFormat="false" ht="15" hidden="false" customHeight="false" outlineLevel="0" collapsed="false">
      <c r="A5" s="0" t="s">
        <v>431</v>
      </c>
      <c r="B5" s="0" t="s">
        <v>432</v>
      </c>
      <c r="C5" s="0" t="s">
        <v>433</v>
      </c>
      <c r="D5" s="0" t="s">
        <v>434</v>
      </c>
      <c r="E5" s="0" t="s">
        <v>435</v>
      </c>
      <c r="G5" s="0" t="s">
        <v>17</v>
      </c>
      <c r="H5" s="0" t="s">
        <v>45</v>
      </c>
      <c r="K5" s="0" t="s">
        <v>436</v>
      </c>
    </row>
    <row r="6" customFormat="false" ht="15" hidden="false" customHeight="false" outlineLevel="0" collapsed="false">
      <c r="A6" s="12" t="s">
        <v>437</v>
      </c>
      <c r="B6" s="12" t="s">
        <v>438</v>
      </c>
      <c r="C6" s="12" t="s">
        <v>439</v>
      </c>
      <c r="D6" s="12" t="s">
        <v>440</v>
      </c>
      <c r="E6" s="12" t="s">
        <v>441</v>
      </c>
      <c r="F6" s="12"/>
      <c r="G6" s="12" t="s">
        <v>17</v>
      </c>
      <c r="H6" s="12" t="s">
        <v>45</v>
      </c>
      <c r="I6" s="12"/>
      <c r="J6" s="12"/>
      <c r="K6" s="12"/>
    </row>
    <row r="7" customFormat="false" ht="15" hidden="false" customHeight="false" outlineLevel="0" collapsed="false">
      <c r="A7" s="0" t="s">
        <v>442</v>
      </c>
      <c r="B7" s="0" t="s">
        <v>443</v>
      </c>
      <c r="C7" s="0" t="s">
        <v>439</v>
      </c>
      <c r="D7" s="0" t="s">
        <v>444</v>
      </c>
      <c r="E7" s="0" t="s">
        <v>445</v>
      </c>
      <c r="G7" s="0" t="s">
        <v>17</v>
      </c>
      <c r="H7" s="0" t="s">
        <v>45</v>
      </c>
      <c r="K7" s="0" t="s">
        <v>446</v>
      </c>
    </row>
    <row r="8" customFormat="false" ht="15" hidden="false" customHeight="false" outlineLevel="0" collapsed="false">
      <c r="A8" s="12" t="s">
        <v>447</v>
      </c>
      <c r="B8" s="12" t="s">
        <v>448</v>
      </c>
      <c r="C8" s="12" t="s">
        <v>449</v>
      </c>
      <c r="D8" s="12" t="s">
        <v>450</v>
      </c>
      <c r="E8" s="12" t="s">
        <v>451</v>
      </c>
      <c r="F8" s="12"/>
      <c r="G8" s="12" t="s">
        <v>17</v>
      </c>
      <c r="H8" s="12" t="s">
        <v>45</v>
      </c>
      <c r="I8" s="12"/>
      <c r="J8" s="12"/>
      <c r="K8" s="12" t="s">
        <v>452</v>
      </c>
    </row>
    <row r="9" customFormat="false" ht="15" hidden="false" customHeight="false" outlineLevel="0" collapsed="false">
      <c r="A9" s="0" t="s">
        <v>453</v>
      </c>
      <c r="B9" s="0" t="s">
        <v>454</v>
      </c>
      <c r="C9" s="0" t="s">
        <v>449</v>
      </c>
      <c r="D9" s="0" t="s">
        <v>455</v>
      </c>
      <c r="E9" s="0" t="s">
        <v>352</v>
      </c>
      <c r="G9" s="0" t="s">
        <v>17</v>
      </c>
      <c r="H9" s="0" t="s">
        <v>45</v>
      </c>
      <c r="K9" s="0" t="s">
        <v>456</v>
      </c>
    </row>
    <row r="10" customFormat="false" ht="15" hidden="false" customHeight="false" outlineLevel="0" collapsed="false">
      <c r="A10" s="12" t="s">
        <v>457</v>
      </c>
      <c r="B10" s="12" t="s">
        <v>458</v>
      </c>
      <c r="C10" s="12" t="s">
        <v>459</v>
      </c>
      <c r="D10" s="12" t="s">
        <v>460</v>
      </c>
      <c r="E10" s="12" t="s">
        <v>461</v>
      </c>
      <c r="F10" s="12"/>
      <c r="G10" s="12" t="s">
        <v>17</v>
      </c>
      <c r="H10" s="12" t="s">
        <v>45</v>
      </c>
      <c r="I10" s="12"/>
      <c r="J10" s="12"/>
      <c r="K10" s="12" t="s">
        <v>462</v>
      </c>
    </row>
    <row r="11" customFormat="false" ht="15" hidden="false" customHeight="false" outlineLevel="0" collapsed="false">
      <c r="A11" s="0" t="s">
        <v>463</v>
      </c>
      <c r="B11" s="0" t="s">
        <v>464</v>
      </c>
      <c r="C11" s="0" t="s">
        <v>459</v>
      </c>
      <c r="D11" s="0" t="s">
        <v>465</v>
      </c>
      <c r="E11" s="0" t="s">
        <v>466</v>
      </c>
      <c r="G11" s="0" t="s">
        <v>17</v>
      </c>
      <c r="H11" s="0" t="s">
        <v>45</v>
      </c>
      <c r="K11" s="0" t="s">
        <v>467</v>
      </c>
    </row>
    <row r="12" customFormat="false" ht="15" hidden="false" customHeight="false" outlineLevel="0" collapsed="false">
      <c r="A12" s="12" t="s">
        <v>468</v>
      </c>
      <c r="B12" s="12" t="s">
        <v>469</v>
      </c>
      <c r="C12" s="12" t="s">
        <v>470</v>
      </c>
      <c r="D12" s="12" t="s">
        <v>471</v>
      </c>
      <c r="E12" s="12" t="s">
        <v>472</v>
      </c>
      <c r="F12" s="12"/>
      <c r="G12" s="12" t="s">
        <v>17</v>
      </c>
      <c r="H12" s="12" t="s">
        <v>54</v>
      </c>
      <c r="I12" s="12"/>
      <c r="J12" s="12"/>
      <c r="K12" s="12"/>
    </row>
    <row r="13" customFormat="false" ht="15" hidden="false" customHeight="false" outlineLevel="0" collapsed="false">
      <c r="A13" s="0" t="s">
        <v>473</v>
      </c>
      <c r="B13" s="0" t="s">
        <v>474</v>
      </c>
      <c r="C13" s="0" t="s">
        <v>475</v>
      </c>
      <c r="D13" s="0" t="s">
        <v>476</v>
      </c>
      <c r="E13" s="0" t="s">
        <v>477</v>
      </c>
      <c r="G13" s="0" t="s">
        <v>17</v>
      </c>
      <c r="H13" s="0" t="s">
        <v>54</v>
      </c>
      <c r="K13" s="0" t="s">
        <v>478</v>
      </c>
    </row>
    <row r="14" customFormat="false" ht="15" hidden="false" customHeight="false" outlineLevel="0" collapsed="false">
      <c r="A14" s="12" t="s">
        <v>479</v>
      </c>
      <c r="B14" s="12" t="s">
        <v>480</v>
      </c>
      <c r="C14" s="12" t="s">
        <v>481</v>
      </c>
      <c r="D14" s="12" t="s">
        <v>482</v>
      </c>
      <c r="E14" s="12" t="s">
        <v>483</v>
      </c>
      <c r="F14" s="12"/>
      <c r="G14" s="12" t="s">
        <v>17</v>
      </c>
      <c r="H14" s="12" t="s">
        <v>45</v>
      </c>
      <c r="I14" s="12"/>
      <c r="J14" s="12"/>
      <c r="K14" s="12"/>
    </row>
    <row r="15" customFormat="false" ht="15" hidden="false" customHeight="false" outlineLevel="0" collapsed="false">
      <c r="A15" s="0" t="s">
        <v>484</v>
      </c>
      <c r="B15" s="0" t="s">
        <v>485</v>
      </c>
      <c r="C15" s="0" t="s">
        <v>486</v>
      </c>
      <c r="D15" s="0" t="s">
        <v>487</v>
      </c>
      <c r="E15" s="0" t="s">
        <v>488</v>
      </c>
      <c r="G15" s="0" t="s">
        <v>17</v>
      </c>
      <c r="H15" s="0" t="s">
        <v>54</v>
      </c>
    </row>
    <row r="16" customFormat="false" ht="15" hidden="false" customHeight="false" outlineLevel="0" collapsed="false">
      <c r="A16" s="12" t="s">
        <v>489</v>
      </c>
      <c r="B16" s="12" t="s">
        <v>490</v>
      </c>
      <c r="C16" s="12" t="s">
        <v>29</v>
      </c>
      <c r="D16" s="12" t="s">
        <v>491</v>
      </c>
      <c r="E16" s="12" t="s">
        <v>492</v>
      </c>
      <c r="F16" s="12"/>
      <c r="G16" s="12" t="s">
        <v>17</v>
      </c>
      <c r="H16" s="12" t="s">
        <v>45</v>
      </c>
      <c r="I16" s="12"/>
      <c r="J16" s="12"/>
      <c r="K16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5"/>
    <col collapsed="false" customWidth="true" hidden="false" outlineLevel="0" max="5" min="4" style="0" width="12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0" min="10" style="0" width="40"/>
  </cols>
  <sheetData>
    <row r="1" customFormat="false" ht="28.35" hidden="false" customHeight="false" outlineLevel="0" collapsed="false">
      <c r="A1" s="11" t="s">
        <v>493</v>
      </c>
      <c r="B1" s="11" t="s">
        <v>38</v>
      </c>
      <c r="C1" s="11" t="s">
        <v>37</v>
      </c>
      <c r="D1" s="11" t="s">
        <v>494</v>
      </c>
      <c r="E1" s="11" t="s">
        <v>13</v>
      </c>
      <c r="F1" s="11" t="s">
        <v>14</v>
      </c>
      <c r="G1" s="11" t="s">
        <v>15</v>
      </c>
      <c r="H1" s="11" t="s">
        <v>18</v>
      </c>
      <c r="I1" s="11" t="s">
        <v>495</v>
      </c>
      <c r="J1" s="11" t="s">
        <v>39</v>
      </c>
    </row>
    <row r="2" customFormat="false" ht="15" hidden="false" customHeight="false" outlineLevel="0" collapsed="false">
      <c r="A2" s="0" t="s">
        <v>496</v>
      </c>
      <c r="D2" s="0" t="s">
        <v>497</v>
      </c>
      <c r="H2" s="8" t="n">
        <f aca="false">IF(E2=0,0,F2/E2)</f>
        <v>0</v>
      </c>
      <c r="J2" s="13" t="s">
        <v>498</v>
      </c>
    </row>
    <row r="3" customFormat="false" ht="15" hidden="false" customHeight="false" outlineLevel="0" collapsed="false">
      <c r="A3" s="0" t="s">
        <v>499</v>
      </c>
      <c r="D3" s="0" t="s">
        <v>500</v>
      </c>
      <c r="H3" s="8" t="n">
        <f aca="false">IF(E3=0,0,F3/E3)</f>
        <v>0</v>
      </c>
      <c r="J3" s="13" t="s">
        <v>501</v>
      </c>
    </row>
    <row r="4" customFormat="false" ht="15" hidden="false" customHeight="false" outlineLevel="0" collapsed="false">
      <c r="A4" s="0" t="s">
        <v>502</v>
      </c>
      <c r="D4" s="0" t="s">
        <v>503</v>
      </c>
      <c r="H4" s="8" t="n">
        <f aca="false">IF(E4=0,0,F4/E4)</f>
        <v>0</v>
      </c>
      <c r="J4" s="13" t="s">
        <v>504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15"/>
    <col collapsed="false" customWidth="true" hidden="false" outlineLevel="0" max="4" min="4" style="0" width="35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4" t="s">
        <v>505</v>
      </c>
      <c r="B1" s="14"/>
      <c r="C1" s="14"/>
      <c r="D1" s="14"/>
      <c r="E1" s="14"/>
    </row>
    <row r="2" customFormat="false" ht="15" hidden="false" customHeight="false" outlineLevel="0" collapsed="false">
      <c r="A2" s="15" t="s">
        <v>12</v>
      </c>
      <c r="B2" s="15" t="s">
        <v>33</v>
      </c>
      <c r="C2" s="15" t="s">
        <v>506</v>
      </c>
      <c r="D2" s="15" t="s">
        <v>39</v>
      </c>
      <c r="E2" s="15" t="s">
        <v>507</v>
      </c>
    </row>
    <row r="3" customFormat="false" ht="15" hidden="false" customHeight="false" outlineLevel="0" collapsed="false">
      <c r="A3" s="0" t="s">
        <v>42</v>
      </c>
      <c r="B3" s="0" t="s">
        <v>508</v>
      </c>
      <c r="C3" s="16" t="s">
        <v>509</v>
      </c>
      <c r="D3" s="13" t="s">
        <v>510</v>
      </c>
      <c r="E3" s="13" t="s">
        <v>511</v>
      </c>
    </row>
    <row r="4" customFormat="false" ht="15" hidden="false" customHeight="false" outlineLevel="0" collapsed="false">
      <c r="A4" s="12" t="s">
        <v>42</v>
      </c>
      <c r="B4" s="12" t="s">
        <v>512</v>
      </c>
      <c r="C4" s="16" t="s">
        <v>509</v>
      </c>
      <c r="D4" s="12" t="s">
        <v>513</v>
      </c>
      <c r="E4" s="12" t="s">
        <v>514</v>
      </c>
    </row>
    <row r="5" customFormat="false" ht="15" hidden="false" customHeight="false" outlineLevel="0" collapsed="false">
      <c r="A5" s="0" t="s">
        <v>82</v>
      </c>
      <c r="B5" s="0" t="s">
        <v>515</v>
      </c>
      <c r="C5" s="16" t="s">
        <v>509</v>
      </c>
      <c r="D5" s="13" t="s">
        <v>516</v>
      </c>
      <c r="E5" s="13" t="s">
        <v>517</v>
      </c>
    </row>
    <row r="6" customFormat="false" ht="15" hidden="false" customHeight="false" outlineLevel="0" collapsed="false">
      <c r="A6" s="12" t="s">
        <v>97</v>
      </c>
      <c r="B6" s="12" t="s">
        <v>518</v>
      </c>
      <c r="C6" s="16" t="s">
        <v>509</v>
      </c>
      <c r="D6" s="12" t="s">
        <v>519</v>
      </c>
      <c r="E6" s="12" t="s">
        <v>520</v>
      </c>
    </row>
    <row r="7" customFormat="false" ht="15" hidden="false" customHeight="false" outlineLevel="0" collapsed="false">
      <c r="A7" s="0" t="s">
        <v>117</v>
      </c>
      <c r="B7" s="0" t="s">
        <v>521</v>
      </c>
      <c r="C7" s="16" t="s">
        <v>509</v>
      </c>
      <c r="D7" s="13" t="s">
        <v>522</v>
      </c>
      <c r="E7" s="13" t="s">
        <v>523</v>
      </c>
    </row>
    <row r="8" customFormat="false" ht="15" hidden="false" customHeight="false" outlineLevel="0" collapsed="false">
      <c r="A8" s="12" t="s">
        <v>128</v>
      </c>
      <c r="B8" s="12" t="s">
        <v>524</v>
      </c>
      <c r="C8" s="16" t="s">
        <v>509</v>
      </c>
      <c r="D8" s="12" t="s">
        <v>525</v>
      </c>
      <c r="E8" s="12" t="s">
        <v>526</v>
      </c>
    </row>
    <row r="9" customFormat="false" ht="15" hidden="false" customHeight="false" outlineLevel="0" collapsed="false">
      <c r="A9" s="0" t="s">
        <v>136</v>
      </c>
      <c r="B9" s="0" t="s">
        <v>527</v>
      </c>
      <c r="C9" s="16" t="s">
        <v>509</v>
      </c>
      <c r="D9" s="13" t="s">
        <v>528</v>
      </c>
      <c r="E9" s="13" t="s">
        <v>529</v>
      </c>
    </row>
    <row r="10" customFormat="false" ht="15" hidden="false" customHeight="false" outlineLevel="0" collapsed="false">
      <c r="A10" s="12" t="s">
        <v>136</v>
      </c>
      <c r="B10" s="12" t="s">
        <v>278</v>
      </c>
      <c r="C10" s="16" t="s">
        <v>509</v>
      </c>
      <c r="D10" s="12" t="s">
        <v>530</v>
      </c>
      <c r="E10" s="12" t="s">
        <v>276</v>
      </c>
    </row>
    <row r="11" customFormat="false" ht="15" hidden="false" customHeight="false" outlineLevel="0" collapsed="false">
      <c r="A11" s="0" t="s">
        <v>136</v>
      </c>
      <c r="B11" s="0" t="s">
        <v>284</v>
      </c>
      <c r="C11" s="17" t="s">
        <v>16</v>
      </c>
      <c r="D11" s="13" t="s">
        <v>531</v>
      </c>
      <c r="E11" s="13" t="s">
        <v>282</v>
      </c>
    </row>
    <row r="12" customFormat="false" ht="15" hidden="false" customHeight="false" outlineLevel="0" collapsed="false">
      <c r="A12" s="12" t="s">
        <v>532</v>
      </c>
      <c r="B12" s="12" t="s">
        <v>533</v>
      </c>
      <c r="C12" s="18" t="s">
        <v>534</v>
      </c>
      <c r="D12" s="12" t="s">
        <v>535</v>
      </c>
      <c r="E12" s="12" t="s">
        <v>536</v>
      </c>
    </row>
    <row r="13" customFormat="false" ht="15" hidden="false" customHeight="false" outlineLevel="0" collapsed="false">
      <c r="A13" s="0" t="s">
        <v>202</v>
      </c>
      <c r="B13" s="0" t="s">
        <v>537</v>
      </c>
      <c r="C13" s="18" t="s">
        <v>534</v>
      </c>
      <c r="D13" s="13" t="s">
        <v>538</v>
      </c>
      <c r="E13" s="13" t="s">
        <v>200</v>
      </c>
    </row>
    <row r="14" customFormat="false" ht="15" hidden="false" customHeight="false" outlineLevel="0" collapsed="false">
      <c r="A14" s="12" t="s">
        <v>539</v>
      </c>
      <c r="B14" s="12" t="s">
        <v>540</v>
      </c>
      <c r="C14" s="16" t="s">
        <v>509</v>
      </c>
      <c r="D14" s="12" t="s">
        <v>541</v>
      </c>
      <c r="E14" s="12" t="s">
        <v>536</v>
      </c>
    </row>
    <row r="15" customFormat="false" ht="15" hidden="false" customHeight="false" outlineLevel="0" collapsed="false">
      <c r="A15" s="0" t="s">
        <v>542</v>
      </c>
      <c r="B15" s="0" t="s">
        <v>543</v>
      </c>
      <c r="C15" s="17" t="s">
        <v>16</v>
      </c>
      <c r="D15" s="13" t="s">
        <v>544</v>
      </c>
      <c r="E15" s="13" t="s">
        <v>287</v>
      </c>
    </row>
    <row r="16" customFormat="false" ht="15" hidden="false" customHeight="false" outlineLevel="0" collapsed="false">
      <c r="A16" s="12" t="s">
        <v>545</v>
      </c>
      <c r="B16" s="12" t="s">
        <v>546</v>
      </c>
      <c r="C16" s="16" t="s">
        <v>509</v>
      </c>
      <c r="D16" s="12" t="s">
        <v>547</v>
      </c>
      <c r="E16" s="12" t="s">
        <v>536</v>
      </c>
    </row>
    <row r="17" customFormat="false" ht="15" hidden="false" customHeight="false" outlineLevel="0" collapsed="false">
      <c r="A17" s="0" t="s">
        <v>548</v>
      </c>
      <c r="B17" s="0" t="s">
        <v>549</v>
      </c>
      <c r="C17" s="16" t="s">
        <v>509</v>
      </c>
      <c r="D17" s="13" t="s">
        <v>550</v>
      </c>
      <c r="E17" s="13" t="s">
        <v>536</v>
      </c>
    </row>
    <row r="18" customFormat="false" ht="15" hidden="false" customHeight="false" outlineLevel="0" collapsed="false">
      <c r="A18" s="12" t="s">
        <v>551</v>
      </c>
      <c r="B18" s="12" t="s">
        <v>552</v>
      </c>
      <c r="C18" s="16" t="s">
        <v>509</v>
      </c>
      <c r="D18" s="12" t="s">
        <v>553</v>
      </c>
      <c r="E18" s="12" t="s">
        <v>536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30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4" t="s">
        <v>554</v>
      </c>
      <c r="B1" s="14"/>
      <c r="C1" s="14"/>
      <c r="D1" s="14"/>
      <c r="E1" s="14"/>
      <c r="F1" s="14"/>
    </row>
    <row r="3" customFormat="false" ht="15" hidden="false" customHeight="false" outlineLevel="0" collapsed="false">
      <c r="A3" s="15" t="s">
        <v>555</v>
      </c>
      <c r="B3" s="15" t="s">
        <v>556</v>
      </c>
      <c r="C3" s="15" t="s">
        <v>557</v>
      </c>
      <c r="D3" s="15" t="s">
        <v>558</v>
      </c>
      <c r="E3" s="15" t="s">
        <v>559</v>
      </c>
      <c r="F3" s="15" t="s">
        <v>560</v>
      </c>
    </row>
    <row r="4" customFormat="false" ht="15" hidden="false" customHeight="false" outlineLevel="0" collapsed="false">
      <c r="A4" s="12" t="s">
        <v>561</v>
      </c>
      <c r="B4" s="12" t="s">
        <v>496</v>
      </c>
      <c r="C4" s="12" t="s">
        <v>562</v>
      </c>
      <c r="D4" s="12" t="s">
        <v>563</v>
      </c>
      <c r="E4" s="12" t="s">
        <v>564</v>
      </c>
      <c r="F4" s="12" t="s">
        <v>565</v>
      </c>
    </row>
    <row r="5" customFormat="false" ht="15" hidden="false" customHeight="false" outlineLevel="0" collapsed="false">
      <c r="A5" s="0" t="s">
        <v>566</v>
      </c>
      <c r="B5" s="0" t="s">
        <v>499</v>
      </c>
      <c r="C5" s="0" t="s">
        <v>567</v>
      </c>
      <c r="D5" s="0" t="s">
        <v>568</v>
      </c>
      <c r="E5" s="0" t="s">
        <v>569</v>
      </c>
      <c r="F5" s="0" t="s">
        <v>570</v>
      </c>
    </row>
    <row r="6" customFormat="false" ht="15" hidden="false" customHeight="false" outlineLevel="0" collapsed="false">
      <c r="A6" s="12" t="s">
        <v>571</v>
      </c>
      <c r="B6" s="12" t="s">
        <v>572</v>
      </c>
      <c r="C6" s="12" t="s">
        <v>573</v>
      </c>
      <c r="D6" s="12" t="s">
        <v>574</v>
      </c>
      <c r="E6" s="12" t="s">
        <v>575</v>
      </c>
      <c r="F6" s="12" t="s">
        <v>576</v>
      </c>
    </row>
    <row r="7" customFormat="false" ht="15" hidden="false" customHeight="false" outlineLevel="0" collapsed="false">
      <c r="A7" s="0" t="s">
        <v>577</v>
      </c>
      <c r="B7" s="0" t="s">
        <v>499</v>
      </c>
      <c r="C7" s="0" t="s">
        <v>578</v>
      </c>
      <c r="D7" s="0" t="s">
        <v>579</v>
      </c>
      <c r="E7" s="0" t="s">
        <v>580</v>
      </c>
      <c r="F7" s="0" t="s">
        <v>581</v>
      </c>
    </row>
    <row r="8" customFormat="false" ht="15" hidden="false" customHeight="false" outlineLevel="0" collapsed="false">
      <c r="A8" s="12" t="s">
        <v>582</v>
      </c>
      <c r="B8" s="12" t="s">
        <v>499</v>
      </c>
      <c r="C8" s="12" t="s">
        <v>583</v>
      </c>
      <c r="D8" s="12" t="s">
        <v>584</v>
      </c>
      <c r="E8" s="12" t="s">
        <v>585</v>
      </c>
      <c r="F8" s="12" t="s">
        <v>586</v>
      </c>
    </row>
    <row r="9" customFormat="false" ht="15" hidden="false" customHeight="false" outlineLevel="0" collapsed="false">
      <c r="A9" s="0" t="s">
        <v>587</v>
      </c>
      <c r="B9" s="0" t="s">
        <v>588</v>
      </c>
      <c r="C9" s="0" t="s">
        <v>589</v>
      </c>
      <c r="D9" s="0" t="s">
        <v>590</v>
      </c>
      <c r="E9" s="0" t="s">
        <v>591</v>
      </c>
      <c r="F9" s="0" t="s">
        <v>592</v>
      </c>
    </row>
    <row r="10" customFormat="false" ht="15" hidden="false" customHeight="false" outlineLevel="0" collapsed="false">
      <c r="A10" s="12" t="s">
        <v>593</v>
      </c>
      <c r="B10" s="12" t="s">
        <v>594</v>
      </c>
      <c r="C10" s="12" t="s">
        <v>595</v>
      </c>
      <c r="D10" s="12" t="s">
        <v>590</v>
      </c>
      <c r="E10" s="12" t="s">
        <v>596</v>
      </c>
      <c r="F10" s="12" t="s">
        <v>592</v>
      </c>
    </row>
    <row r="11" customFormat="false" ht="15" hidden="false" customHeight="false" outlineLevel="0" collapsed="false">
      <c r="A11" s="0" t="s">
        <v>597</v>
      </c>
      <c r="B11" s="0" t="s">
        <v>496</v>
      </c>
      <c r="C11" s="0" t="s">
        <v>598</v>
      </c>
      <c r="D11" s="0" t="s">
        <v>599</v>
      </c>
      <c r="E11" s="0" t="s">
        <v>600</v>
      </c>
      <c r="F11" s="0" t="s">
        <v>601</v>
      </c>
    </row>
    <row r="12" customFormat="false" ht="15" hidden="false" customHeight="false" outlineLevel="0" collapsed="false">
      <c r="A12" s="12" t="s">
        <v>602</v>
      </c>
      <c r="B12" s="12" t="s">
        <v>496</v>
      </c>
      <c r="C12" s="12" t="s">
        <v>603</v>
      </c>
      <c r="D12" s="12" t="s">
        <v>604</v>
      </c>
      <c r="E12" s="12" t="s">
        <v>605</v>
      </c>
      <c r="F12" s="12" t="s">
        <v>601</v>
      </c>
    </row>
    <row r="13" customFormat="false" ht="15" hidden="false" customHeight="false" outlineLevel="0" collapsed="false">
      <c r="A13" s="0" t="s">
        <v>606</v>
      </c>
      <c r="B13" s="0" t="s">
        <v>607</v>
      </c>
      <c r="E13" s="0" t="s">
        <v>608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2026-03-30T02:27:21Z</dcterms:created>
  <dc:creator>openpyxl</dc:creator>
  <dc:description/>
  <dc:language>en-US</dc:language>
  <cp:lastModifiedBy/>
  <dcterms:modified xsi:type="dcterms:W3CDTF">2026-03-30T02:27:21Z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